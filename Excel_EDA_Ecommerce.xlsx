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4380" windowHeight="4330" firstSheet="2" activeTab="4"/>
  </bookViews>
  <sheets>
    <sheet name="Orders by Status" sheetId="2" r:id="rId1"/>
    <sheet name="Revenue by Product" sheetId="20" r:id="rId2"/>
    <sheet name="Revenue by Referral Source" sheetId="21" r:id="rId3"/>
    <sheet name="Average Order Value by Payment" sheetId="23" r:id="rId4"/>
    <sheet name="Revenue by Month" sheetId="24" r:id="rId5"/>
    <sheet name="EDA" sheetId="13" r:id="rId6"/>
    <sheet name="Cleaned Data set" sheetId="1" r:id="rId7"/>
  </sheets>
  <externalReferences>
    <externalReference r:id="rId8"/>
  </externalReferences>
  <definedNames>
    <definedName name="_xlnm._FilterDatabase" localSheetId="6" hidden="1">'Cleaned Data set'!$A$1:$P$1202</definedName>
  </definedNames>
  <calcPr calcId="152511"/>
  <pivotCaches>
    <pivotCache cacheId="0" r:id="rId9"/>
  </pivotCaches>
</workbook>
</file>

<file path=xl/calcChain.xml><?xml version="1.0" encoding="utf-8"?>
<calcChain xmlns="http://schemas.openxmlformats.org/spreadsheetml/2006/main">
  <c r="J3" i="13" l="1"/>
  <c r="J2" i="13"/>
  <c r="J1" i="13"/>
  <c r="P3" i="1"/>
  <c r="P2" i="1"/>
  <c r="P109" i="1"/>
  <c r="P328" i="1"/>
  <c r="P330" i="1"/>
  <c r="P471" i="1"/>
  <c r="P634" i="1"/>
  <c r="P791" i="1"/>
  <c r="P1067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9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4" i="1"/>
  <c r="P5" i="1"/>
  <c r="P6" i="1"/>
  <c r="P7" i="1"/>
  <c r="P8" i="1"/>
  <c r="P9" i="1"/>
  <c r="P10" i="1"/>
  <c r="P11" i="1"/>
  <c r="P12" i="1"/>
  <c r="P13" i="1"/>
  <c r="H2" i="13"/>
  <c r="H1" i="13"/>
  <c r="O120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<sst xmlns="http://schemas.openxmlformats.org/spreadsheetml/2006/main" count="10627" uniqueCount="4326">
  <si>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</si>
  <si>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</si>
  <si>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</si>
  <si>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</si>
  <si>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</si>
  <si>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</si>
  <si>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</si>
  <si>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</si>
  <si>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</si>
  <si>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</si>
  <si>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</si>
  <si>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</si>
  <si>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</si>
  <si>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</si>
  <si>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</si>
  <si>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</si>
  <si>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</si>
  <si>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</si>
  <si>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</si>
  <si>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</si>
  <si>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</si>
  <si>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</si>
  <si>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</si>
  <si>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</si>
  <si>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</si>
  <si>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</si>
  <si>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</si>
  <si>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</si>
  <si>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</si>
  <si>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</si>
  <si>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</si>
  <si>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</si>
  <si>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</si>
  <si>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</si>
  <si>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</si>
  <si>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</si>
  <si>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</si>
  <si>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</si>
  <si>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</si>
  <si>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</si>
  <si>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</si>
  <si>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</si>
  <si>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</si>
  <si>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</si>
  <si>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</si>
  <si>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</si>
  <si>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</si>
  <si>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</si>
  <si>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</si>
  <si>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</si>
  <si>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</si>
  <si>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</si>
  <si>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</si>
  <si>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</si>
  <si>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</si>
  <si>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</si>
  <si>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</si>
  <si>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</si>
  <si>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</si>
  <si>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</si>
  <si>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</si>
  <si>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</si>
  <si>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</si>
  <si>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</si>
  <si>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</si>
  <si>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</si>
  <si>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</si>
  <si>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</si>
  <si>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</si>
  <si>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</si>
  <si>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</si>
  <si>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</si>
  <si>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</si>
  <si>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</si>
  <si>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</si>
  <si>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</si>
  <si>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</si>
  <si>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</si>
  <si>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</si>
  <si>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</si>
  <si>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</si>
  <si>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</si>
  <si>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</si>
  <si>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</si>
  <si>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</si>
  <si>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</si>
  <si>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</si>
  <si>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</si>
  <si>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</si>
  <si>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</si>
  <si>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</si>
  <si>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</si>
  <si>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</si>
  <si>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</si>
  <si>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</si>
  <si>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</si>
  <si>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</si>
  <si>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</si>
  <si>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</si>
  <si>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</si>
  <si>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</si>
  <si>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</si>
  <si>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</si>
  <si>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</si>
  <si>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</si>
  <si>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</si>
  <si>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</si>
  <si>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</si>
  <si>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</si>
  <si>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</si>
  <si>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</si>
  <si>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</si>
  <si>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</si>
  <si>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</si>
  <si>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</si>
  <si>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</si>
  <si>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</si>
  <si>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</si>
  <si>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</si>
  <si>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</si>
  <si>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</si>
  <si>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</si>
  <si>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</si>
  <si>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</si>
  <si>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</si>
  <si>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</si>
  <si>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</si>
  <si>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</si>
  <si>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</si>
  <si>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</si>
  <si>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</si>
  <si>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</si>
  <si>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</si>
  <si>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</si>
  <si>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</si>
  <si>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</si>
  <si>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</si>
  <si>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</si>
  <si>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</si>
  <si>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</si>
  <si>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</si>
  <si>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</si>
  <si>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</si>
  <si>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</si>
  <si>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</si>
  <si>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</si>
  <si>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</si>
  <si>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</si>
  <si>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</si>
  <si>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</si>
  <si>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</si>
  <si>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</si>
  <si>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</si>
  <si>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</si>
  <si>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</si>
  <si>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</si>
  <si>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</si>
  <si>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</si>
  <si>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</si>
  <si>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</si>
  <si>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</si>
  <si>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</si>
  <si>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</si>
  <si>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</si>
  <si>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</si>
  <si>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</si>
  <si>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</si>
  <si>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</si>
  <si>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</si>
  <si>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</si>
  <si>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</si>
  <si>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</si>
  <si>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</si>
  <si>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</si>
  <si>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</si>
  <si>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</si>
  <si>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</si>
  <si>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</si>
  <si>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</si>
  <si>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</si>
  <si>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</si>
  <si>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</si>
  <si>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</si>
  <si>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</si>
  <si>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</si>
  <si>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</si>
  <si>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</si>
  <si>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</si>
  <si>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</si>
  <si>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</si>
  <si>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</si>
  <si>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</si>
  <si>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</si>
  <si>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</si>
  <si>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</si>
  <si>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</si>
  <si>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</si>
  <si>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</si>
  <si>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</si>
  <si>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</si>
  <si>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</si>
  <si>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</si>
  <si>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</si>
  <si>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</si>
  <si>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</si>
  <si>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</si>
  <si>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</si>
  <si>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</si>
  <si>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</si>
  <si>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</si>
  <si>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</si>
  <si>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</si>
  <si>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</si>
  <si>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</si>
  <si>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</si>
  <si>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</si>
  <si>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</si>
  <si>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</si>
  <si>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</si>
  <si>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</si>
  <si>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</si>
  <si>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</si>
  <si>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</si>
  <si>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</si>
  <si>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</si>
  <si>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</si>
  <si>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</si>
  <si>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</si>
  <si>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</si>
  <si>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</si>
  <si>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</si>
  <si>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</si>
  <si>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</si>
  <si>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</si>
  <si>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</si>
  <si>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</si>
  <si>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</si>
  <si>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</si>
  <si>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</si>
  <si>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</si>
  <si>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</si>
  <si>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</si>
  <si>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</si>
  <si>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</si>
  <si>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</si>
  <si>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</si>
  <si>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</si>
  <si>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</si>
  <si>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</si>
  <si>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</si>
  <si>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</si>
  <si>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</si>
  <si>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</si>
  <si>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</si>
  <si>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</si>
  <si>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</si>
  <si>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</si>
  <si>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</si>
  <si>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</si>
  <si>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</si>
  <si>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</si>
  <si>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</si>
  <si>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</si>
  <si>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</si>
  <si>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</si>
  <si>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</si>
  <si>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</si>
  <si>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</si>
  <si>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</si>
  <si>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</si>
  <si>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</si>
  <si>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</si>
  <si>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</si>
  <si>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</si>
  <si>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</si>
  <si>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</si>
  <si>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</si>
  <si>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</si>
  <si>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</si>
  <si>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</si>
  <si>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</si>
  <si>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</si>
  <si>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</si>
  <si>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</si>
  <si>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</si>
  <si>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</si>
  <si>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</si>
  <si>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</si>
  <si>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</si>
  <si>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</si>
  <si>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</si>
  <si>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</si>
  <si>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</si>
  <si>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</si>
  <si>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</si>
  <si>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</si>
  <si>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</si>
  <si>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</si>
  <si>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</si>
  <si>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</si>
  <si>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</si>
  <si>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</si>
  <si>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</si>
  <si>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</si>
  <si>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</si>
  <si>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</si>
  <si>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</si>
  <si>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</si>
  <si>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</si>
  <si>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</si>
  <si>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</si>
  <si>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</si>
  <si>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</si>
  <si>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</si>
  <si>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</si>
  <si>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</si>
  <si>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</si>
  <si>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</si>
  <si>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</si>
  <si>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</si>
  <si>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</si>
  <si>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</si>
  <si>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</si>
  <si>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</si>
  <si>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</si>
  <si>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</si>
  <si>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</si>
  <si>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</si>
  <si>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</si>
  <si>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</si>
  <si>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</si>
  <si>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</si>
  <si>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</si>
  <si>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</si>
  <si>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</si>
  <si>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</si>
  <si>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</si>
  <si>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</si>
  <si>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</si>
  <si>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</si>
  <si>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</si>
  <si>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</si>
  <si>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</si>
  <si>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</si>
  <si>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</si>
  <si>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</si>
  <si>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</si>
  <si>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</si>
  <si>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</si>
  <si>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</si>
  <si>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</si>
  <si>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</si>
  <si>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</si>
  <si>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</si>
  <si>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</si>
  <si>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</si>
  <si>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</si>
  <si>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</si>
  <si>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</si>
  <si>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</si>
  <si>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</si>
  <si>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</si>
  <si>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</si>
  <si>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</si>
  <si>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</si>
  <si>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</si>
  <si>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</si>
  <si>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</si>
  <si>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</si>
  <si>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</si>
  <si>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</si>
  <si>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</si>
  <si>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</si>
  <si>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</si>
  <si>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</si>
  <si>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</si>
  <si>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</si>
  <si>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</si>
  <si>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</si>
  <si>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</si>
  <si>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</si>
  <si>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</si>
  <si>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</si>
  <si>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</si>
  <si>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</si>
  <si>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</si>
  <si>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</si>
  <si>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</si>
  <si>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</si>
  <si>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</si>
  <si>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</si>
  <si>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</si>
  <si>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</si>
  <si>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</si>
  <si>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</si>
  <si>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</si>
  <si>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</si>
  <si>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</si>
  <si>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</si>
  <si>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</si>
  <si>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</si>
  <si>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</si>
  <si>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</si>
  <si>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</si>
  <si>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</si>
  <si>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</si>
  <si>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</si>
  <si>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</si>
  <si>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</si>
  <si>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</si>
  <si>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</si>
  <si>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</si>
  <si>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</si>
  <si>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</si>
  <si>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</si>
  <si>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</si>
  <si>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</si>
  <si>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</si>
  <si>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</si>
  <si>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</si>
  <si>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</si>
  <si>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</si>
  <si>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</si>
  <si>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</si>
  <si>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</si>
  <si>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</si>
  <si>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</si>
  <si>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</si>
  <si>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</si>
  <si>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</si>
  <si>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</si>
  <si>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</si>
  <si>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</si>
  <si>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</si>
  <si>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</si>
  <si>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</si>
  <si>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</si>
  <si>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</si>
  <si>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</si>
  <si>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</si>
  <si>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</si>
  <si>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</si>
  <si>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</si>
  <si>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</si>
  <si>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</si>
  <si>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</si>
  <si>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</si>
  <si>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</si>
  <si>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</si>
  <si>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</si>
  <si>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</si>
  <si>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</si>
  <si>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</si>
  <si>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</si>
  <si>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</si>
  <si>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</si>
  <si>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</si>
  <si>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</si>
  <si>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</si>
  <si>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</si>
  <si>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</si>
  <si>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</si>
  <si>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</si>
  <si>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</si>
  <si>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</si>
  <si>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</si>
  <si>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</si>
  <si>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</si>
  <si>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</si>
  <si>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</si>
  <si>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</si>
  <si>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</si>
  <si>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</si>
  <si>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</si>
  <si>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</si>
  <si>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</si>
  <si>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</si>
  <si>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</si>
  <si>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</si>
  <si>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</si>
  <si>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</si>
  <si>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</si>
  <si>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</si>
  <si>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</si>
  <si>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</si>
  <si>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</si>
  <si>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</si>
  <si>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</si>
  <si>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</si>
  <si>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</si>
  <si>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</si>
  <si>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</si>
  <si>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</si>
  <si>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</si>
  <si>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</si>
  <si>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</si>
  <si>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</si>
  <si>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</si>
  <si>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</si>
  <si>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</si>
  <si>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</si>
  <si>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</si>
  <si>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</si>
  <si>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</si>
  <si>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</si>
  <si>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</si>
  <si>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</si>
  <si>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</si>
  <si>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</si>
  <si>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</si>
  <si>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</si>
  <si>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</si>
  <si>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</si>
  <si>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</si>
  <si>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</si>
  <si>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</si>
  <si>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</si>
  <si>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</si>
  <si>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</si>
  <si>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</si>
  <si>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</si>
  <si>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</si>
  <si>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</si>
  <si>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</si>
  <si>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</si>
  <si>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</si>
  <si>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</si>
  <si>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</si>
  <si>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</si>
  <si>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</si>
  <si>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</si>
  <si>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</si>
  <si>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</si>
  <si>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</si>
  <si>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</si>
  <si>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</si>
  <si>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</si>
  <si>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</si>
  <si>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</si>
  <si>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</si>
  <si>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</si>
  <si>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</si>
  <si>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</si>
  <si>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</si>
  <si>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</si>
  <si>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</si>
  <si>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</si>
  <si>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</si>
  <si>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</si>
  <si>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</si>
  <si>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</si>
  <si>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</si>
  <si>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</si>
  <si>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</si>
  <si>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</si>
  <si>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</si>
  <si>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</si>
  <si>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</si>
  <si>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</si>
  <si>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</si>
  <si>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</si>
  <si>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</si>
  <si>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</si>
  <si>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</si>
  <si>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</si>
  <si>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</si>
  <si>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</si>
  <si>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</si>
  <si>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</si>
  <si>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</si>
  <si>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</si>
  <si>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</si>
  <si>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</si>
  <si>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</si>
  <si>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</si>
  <si>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</si>
  <si>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</si>
  <si>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</si>
  <si>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</si>
  <si>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</si>
  <si>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</si>
  <si>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</si>
  <si>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</si>
  <si>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</si>
  <si>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</si>
  <si>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</si>
  <si>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</si>
  <si>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</si>
  <si>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</si>
  <si>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</si>
  <si>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</si>
  <si>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</si>
  <si>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</si>
  <si>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</si>
  <si>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</si>
  <si>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</si>
  <si>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</si>
  <si>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</si>
  <si>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</si>
  <si>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</si>
  <si>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</si>
  <si>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</si>
  <si>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</si>
  <si>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</si>
  <si>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</si>
  <si>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</si>
  <si>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</si>
  <si>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</si>
  <si>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</si>
  <si>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</si>
  <si>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</si>
  <si>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</si>
  <si>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</si>
  <si>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</si>
  <si>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</si>
  <si>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</si>
  <si>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</si>
  <si>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</si>
  <si>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</si>
  <si>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</si>
  <si>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</si>
  <si>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</si>
  <si>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</si>
  <si>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</si>
  <si>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</si>
  <si>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</si>
  <si>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</si>
  <si>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</si>
  <si>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</si>
  <si>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</si>
  <si>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</si>
  <si>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</si>
  <si>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</si>
  <si>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</si>
  <si>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</si>
  <si>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</si>
  <si>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</si>
  <si>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</si>
  <si>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</si>
  <si>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</si>
  <si>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</si>
  <si>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</si>
  <si>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</si>
  <si>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</si>
  <si>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</si>
  <si>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</si>
  <si>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</si>
  <si>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</si>
  <si>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</si>
  <si>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</si>
  <si>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</si>
  <si>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</si>
  <si>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</si>
  <si>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</si>
  <si>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</si>
  <si>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</si>
  <si>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</si>
  <si>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</si>
  <si>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</si>
  <si>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</si>
  <si>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</si>
  <si>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</si>
  <si>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</si>
  <si>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</si>
  <si>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</si>
  <si>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</si>
  <si>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</si>
  <si>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</si>
  <si>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</si>
  <si>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</si>
  <si>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</si>
  <si>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</si>
  <si>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</si>
  <si>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</si>
  <si>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</si>
  <si>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</si>
  <si>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</si>
  <si>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</si>
  <si>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</si>
  <si>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</si>
  <si>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</si>
  <si>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</si>
  <si>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</si>
  <si>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</si>
  <si>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</si>
  <si>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</si>
  <si>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</si>
  <si>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</si>
  <si>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</si>
  <si>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</si>
  <si>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</si>
  <si>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</si>
  <si>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</si>
  <si>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</si>
  <si>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</si>
  <si>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</si>
  <si>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</si>
  <si>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</si>
  <si>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</si>
  <si>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</si>
  <si>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</si>
  <si>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</si>
  <si>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</si>
  <si>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</si>
  <si>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</si>
  <si>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</si>
  <si>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</si>
  <si>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</si>
  <si>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</si>
  <si>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</si>
  <si>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</si>
  <si>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</si>
  <si>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</si>
  <si>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</si>
  <si>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</si>
  <si>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</si>
  <si>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</si>
  <si>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</si>
  <si>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</si>
  <si>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</si>
  <si>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</si>
  <si>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</si>
  <si>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</si>
  <si>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</si>
  <si>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</si>
  <si>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</si>
  <si>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</si>
  <si>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</si>
  <si>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</si>
  <si>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</si>
  <si>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</si>
  <si>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</si>
  <si>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</si>
  <si>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</si>
  <si>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</si>
  <si>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</si>
  <si>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</si>
  <si>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</si>
  <si>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</si>
  <si>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</si>
  <si>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</si>
  <si>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</si>
  <si>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</si>
  <si>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</si>
  <si>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</si>
  <si>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</si>
  <si>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</si>
  <si>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</si>
  <si>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</si>
  <si>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</si>
  <si>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</si>
  <si>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</si>
  <si>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</si>
  <si>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</si>
  <si>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</si>
  <si>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</si>
  <si>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</si>
  <si>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</si>
  <si>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</si>
  <si>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</si>
  <si>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</si>
  <si>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</si>
  <si>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</si>
  <si>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</si>
  <si>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</si>
  <si>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</si>
  <si>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</si>
  <si>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</si>
  <si>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</si>
  <si>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</si>
  <si>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</si>
  <si>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</si>
  <si>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</si>
  <si>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</si>
  <si>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</si>
  <si>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</si>
  <si>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</si>
  <si>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</si>
  <si>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</si>
  <si>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</si>
  <si>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</si>
  <si>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</si>
  <si>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</si>
  <si>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</si>
  <si>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</si>
  <si>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</si>
  <si>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</si>
  <si>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</si>
  <si>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</si>
  <si>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</si>
  <si>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</si>
  <si>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</si>
  <si>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</si>
  <si>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</si>
  <si>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</si>
  <si>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</si>
  <si>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</si>
  <si>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</si>
  <si>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</si>
  <si>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</si>
  <si>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</si>
  <si>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</si>
  <si>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</si>
  <si>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</si>
  <si>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</si>
  <si>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</si>
  <si>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</si>
  <si>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</si>
  <si>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</si>
  <si>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</si>
  <si>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</si>
  <si>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</si>
  <si>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</si>
  <si>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</si>
  <si>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</si>
  <si>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</si>
  <si>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</si>
  <si>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</si>
  <si>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</si>
  <si>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</si>
  <si>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</si>
  <si>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</si>
  <si>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</si>
  <si>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</si>
  <si>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</si>
  <si>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</si>
  <si>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</si>
  <si>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</si>
  <si>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</si>
  <si>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</si>
  <si>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</si>
  <si>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</si>
  <si>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</si>
  <si>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</si>
  <si>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</si>
  <si>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</si>
  <si>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</si>
  <si>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</si>
  <si>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</si>
  <si>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</si>
  <si>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</si>
  <si>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</si>
  <si>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</si>
  <si>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</si>
  <si>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</si>
  <si>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</si>
  <si>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</si>
  <si>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</si>
  <si>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</si>
  <si>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</si>
  <si>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</si>
  <si>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</si>
  <si>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</si>
  <si>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</si>
  <si>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</si>
  <si>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</si>
  <si>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</si>
  <si>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</si>
  <si>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</si>
  <si>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</si>
  <si>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</si>
  <si>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</si>
  <si>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</si>
  <si>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</si>
  <si>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</si>
  <si>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</si>
  <si>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</si>
  <si>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</si>
  <si>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</si>
  <si>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</si>
  <si>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</si>
  <si>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</si>
  <si>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</si>
  <si>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</si>
  <si>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</si>
  <si>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</si>
  <si>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</si>
  <si>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</si>
  <si>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</si>
  <si>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</si>
  <si>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</si>
  <si>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</si>
  <si>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</si>
  <si>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</si>
  <si>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</si>
  <si>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</si>
  <si>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</si>
  <si>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</si>
  <si>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</si>
  <si>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</si>
  <si>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</si>
  <si>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</si>
  <si>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</si>
  <si>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</si>
  <si>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</si>
  <si>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</si>
  <si>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</si>
  <si>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</si>
  <si>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</si>
  <si>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</si>
  <si>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</si>
  <si>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</si>
  <si>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</si>
  <si>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</si>
  <si>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</si>
  <si>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</si>
  <si>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</si>
  <si>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</si>
  <si>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</si>
  <si>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</si>
  <si>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</si>
  <si>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</si>
  <si>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</si>
  <si>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</si>
  <si>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</si>
  <si>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</si>
  <si>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</si>
  <si>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</si>
  <si>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</si>
  <si>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</si>
  <si>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</si>
  <si>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</si>
  <si>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</si>
  <si>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</si>
  <si>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</si>
  <si>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</si>
  <si>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</si>
  <si>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</si>
  <si>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</si>
  <si>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</si>
  <si>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</si>
  <si>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</si>
  <si>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</si>
  <si>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</si>
  <si>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</si>
  <si>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</si>
  <si>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</si>
  <si>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</si>
  <si>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</si>
  <si>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</si>
  <si>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</si>
  <si>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</si>
  <si>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</si>
  <si>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</si>
  <si>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</si>
  <si>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</si>
  <si>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</si>
  <si>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</si>
  <si>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</si>
  <si>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</si>
  <si>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</si>
  <si>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</si>
  <si>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</si>
  <si>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</si>
  <si>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</si>
  <si>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</si>
  <si>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</si>
  <si>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</si>
  <si>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</si>
  <si>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</si>
  <si>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</si>
  <si>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</si>
  <si>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</si>
  <si>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</si>
  <si>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</si>
  <si>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</si>
  <si>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</si>
  <si>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</si>
  <si>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</si>
  <si>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</si>
  <si>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</si>
  <si>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</si>
  <si>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</si>
  <si>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</si>
  <si>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</si>
  <si>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</si>
  <si>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</si>
  <si>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</si>
  <si>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</si>
  <si>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</si>
  <si>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</si>
  <si>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</si>
  <si>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</si>
  <si>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</si>
  <si>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</si>
  <si>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</si>
  <si>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</si>
  <si>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</si>
  <si>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</si>
  <si>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</si>
  <si>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</si>
  <si>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</si>
  <si>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</si>
  <si>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</si>
  <si>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</si>
  <si>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</si>
  <si>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</si>
  <si>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</si>
  <si>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</si>
  <si>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</si>
  <si>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</si>
  <si>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</si>
  <si>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</si>
  <si>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</si>
  <si>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</si>
  <si>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</si>
  <si>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</si>
  <si>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</si>
  <si>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</si>
  <si>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</si>
  <si>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</si>
  <si>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</si>
  <si>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</si>
  <si>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</si>
  <si>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</si>
  <si>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</si>
  <si>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</si>
  <si>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</si>
  <si>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</si>
  <si>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</si>
  <si>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</si>
  <si>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</si>
  <si>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</si>
  <si>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</si>
  <si>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</si>
  <si>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</si>
  <si>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</si>
  <si>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</si>
  <si>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</si>
  <si>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</si>
  <si>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</si>
  <si>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</si>
  <si>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</si>
  <si>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</si>
  <si>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</si>
  <si>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</si>
  <si>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</si>
  <si>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</si>
  <si>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</si>
  <si>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</si>
  <si>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</si>
  <si>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</si>
  <si>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</si>
  <si>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</si>
  <si>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</si>
  <si>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</si>
  <si>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</si>
  <si>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</si>
  <si>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</si>
  <si>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</si>
  <si>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</si>
  <si>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</si>
  <si>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</si>
  <si>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</si>
  <si>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</si>
  <si>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</si>
  <si>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</si>
  <si>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</si>
  <si>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</si>
  <si>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</si>
  <si>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</si>
  <si>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</si>
  <si>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</si>
  <si>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</si>
  <si>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</si>
  <si>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</si>
  <si>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</si>
  <si>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</si>
  <si>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</si>
  <si>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</si>
  <si>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</si>
  <si>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</si>
  <si>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</si>
  <si>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</si>
  <si>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</si>
  <si>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</si>
  <si>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</si>
  <si>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</si>
  <si>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</si>
  <si>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</si>
  <si>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</si>
  <si>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</si>
  <si>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</si>
  <si>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</si>
  <si>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</si>
  <si>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</si>
  <si>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</si>
  <si>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</si>
  <si>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</si>
  <si>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</si>
  <si>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</si>
  <si>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</si>
  <si>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</si>
  <si>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</si>
  <si>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</si>
  <si>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</si>
  <si>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</si>
  <si>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</si>
  <si>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</si>
  <si>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</si>
  <si>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</si>
  <si>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</si>
  <si>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</si>
  <si>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</si>
  <si>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</si>
  <si>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</si>
  <si>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</si>
  <si>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</si>
  <si>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</si>
  <si>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</si>
  <si>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</si>
  <si>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</si>
  <si>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</si>
  <si>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</si>
  <si>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</si>
  <si>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</si>
  <si>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</si>
  <si>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</si>
  <si>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</si>
  <si>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</si>
  <si>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</si>
  <si>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</si>
  <si>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</si>
  <si>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</si>
  <si>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</si>
  <si>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</si>
  <si>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</si>
  <si>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</si>
  <si>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</si>
  <si>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</si>
  <si>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</si>
  <si>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</si>
  <si>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</si>
  <si>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</si>
  <si>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</si>
  <si>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</si>
  <si>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</si>
  <si>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</si>
  <si>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</si>
  <si>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</si>
  <si>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</si>
  <si>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</si>
  <si>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</si>
  <si>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</si>
  <si>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</si>
  <si>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</si>
  <si>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</si>
  <si>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</si>
  <si>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</si>
  <si>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</si>
  <si>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</si>
  <si>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</si>
  <si>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</si>
  <si>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</si>
  <si>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</si>
  <si>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</si>
  <si>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</si>
  <si>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</si>
  <si>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</si>
  <si>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</si>
  <si>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</si>
  <si>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</si>
  <si>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</si>
  <si>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</si>
  <si>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</si>
  <si>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</si>
  <si>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</si>
  <si>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</si>
  <si>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</si>
  <si>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</si>
  <si>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</si>
  <si>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</si>
  <si>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</si>
  <si>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</si>
  <si>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</si>
  <si>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</si>
  <si>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</si>
  <si>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</si>
  <si>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</si>
  <si>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</si>
  <si>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</si>
  <si>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</si>
  <si>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</si>
  <si>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</si>
  <si>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</si>
  <si>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</si>
  <si>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</si>
  <si>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</si>
  <si>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</si>
  <si>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</si>
  <si>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</si>
  <si>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</si>
  <si>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</si>
  <si>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</si>
  <si>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</si>
  <si>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</si>
  <si>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</si>
  <si>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</si>
  <si>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</si>
  <si>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</si>
  <si>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</si>
  <si>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</si>
  <si>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</si>
  <si>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</si>
  <si>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</si>
  <si>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</si>
  <si>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</si>
  <si>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</si>
  <si>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</si>
  <si>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</si>
  <si>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</si>
  <si>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</si>
  <si>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</si>
  <si>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</si>
  <si>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</si>
  <si>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</si>
  <si>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</si>
  <si>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</si>
  <si>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</si>
  <si>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</si>
  <si>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</si>
  <si>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</si>
  <si>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</si>
  <si>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</si>
  <si>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</si>
  <si>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</si>
  <si>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</si>
  <si>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</si>
  <si>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</si>
  <si>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</si>
  <si>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</si>
  <si>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</si>
  <si>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</si>
  <si>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</si>
  <si>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</si>
  <si>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</si>
  <si>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</si>
  <si>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</si>
  <si>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</si>
  <si>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</si>
  <si>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</si>
  <si>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</si>
  <si>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</si>
  <si>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</si>
  <si>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</si>
  <si>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</si>
  <si>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</si>
  <si>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</si>
  <si>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</si>
  <si>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</si>
  <si>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</si>
  <si>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</si>
  <si>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</si>
  <si>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</si>
  <si>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</si>
  <si>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</si>
  <si>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</si>
  <si>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</si>
  <si>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</si>
  <si>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</si>
  <si>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</si>
  <si>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</si>
  <si>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</si>
  <si>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</si>
  <si>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</si>
  <si>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</si>
  <si>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</si>
  <si>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</si>
  <si>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</si>
  <si>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</si>
  <si>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</si>
  <si>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</si>
  <si>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</si>
  <si>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</si>
  <si>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</si>
  <si>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</si>
  <si>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</si>
  <si>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</si>
  <si>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</si>
  <si>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</si>
  <si>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</si>
  <si>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</si>
  <si>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</si>
  <si>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</si>
  <si>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</si>
  <si>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</si>
  <si>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</si>
  <si>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</si>
  <si>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</si>
  <si>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</si>
  <si>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</si>
  <si>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</si>
  <si>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</si>
  <si>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</si>
  <si>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</si>
  <si>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</si>
  <si>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</si>
  <si>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</si>
  <si>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</si>
  <si>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</si>
  <si>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</si>
  <si>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</si>
  <si>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</si>
  <si>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</si>
  <si>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</si>
  <si>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</si>
  <si>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</si>
  <si>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</si>
  <si>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</si>
  <si>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</si>
  <si>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</si>
  <si>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</si>
  <si>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</si>
  <si>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</si>
  <si>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</si>
  <si>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</si>
  <si>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</si>
  <si>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</si>
  <si>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</si>
  <si>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</si>
  <si>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</si>
  <si>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</si>
  <si>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</si>
  <si>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</si>
  <si>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</si>
  <si>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</si>
  <si>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</si>
  <si>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</si>
  <si>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</si>
  <si>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</si>
  <si>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</si>
  <si>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</si>
  <si>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</si>
  <si>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</si>
  <si>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</si>
  <si>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</si>
  <si>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</si>
  <si>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</si>
  <si>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</si>
  <si>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</si>
  <si>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</si>
  <si>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</si>
  <si>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</si>
  <si>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</si>
  <si>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</si>
  <si>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</si>
  <si>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</si>
  <si>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</si>
  <si>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</si>
  <si>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</si>
  <si>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</si>
  <si>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</si>
  <si>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</si>
  <si>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</si>
  <si>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</si>
  <si>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</si>
  <si>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</si>
  <si>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</si>
  <si>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</si>
  <si>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</si>
  <si>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</si>
  <si>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</si>
  <si>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</si>
  <si>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</si>
  <si>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</si>
  <si>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</si>
  <si>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</si>
  <si>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</si>
  <si>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</si>
  <si>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</si>
  <si>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</si>
  <si>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</si>
  <si>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</si>
  <si>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</si>
  <si>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</si>
  <si>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</si>
  <si>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</si>
  <si>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</si>
  <si>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</si>
  <si>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</si>
  <si>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</si>
  <si>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</si>
  <si>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</si>
  <si>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</si>
  <si>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</si>
  <si>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</si>
  <si>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</si>
  <si>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</si>
  <si>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</si>
  <si>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</si>
  <si>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</si>
  <si>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</si>
  <si>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</si>
  <si>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</si>
  <si>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</si>
  <si>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</si>
  <si>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</si>
  <si>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</si>
  <si>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</si>
  <si>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</si>
  <si>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</si>
  <si>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</si>
  <si>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</si>
  <si>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</si>
  <si>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</si>
  <si>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</si>
  <si>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</si>
  <si>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</si>
  <si>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</si>
  <si>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</si>
  <si>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</si>
  <si>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</si>
  <si>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</si>
  <si>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</si>
  <si>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</si>
  <si>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</si>
  <si>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</si>
  <si>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</si>
  <si>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</si>
  <si>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</si>
  <si>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</si>
  <si>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</si>
  <si>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</si>
  <si>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</si>
  <si>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</si>
  <si>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</si>
  <si>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</si>
  <si>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</si>
  <si>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</si>
  <si>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</si>
  <si>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</si>
  <si>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</si>
  <si>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</si>
  <si>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</si>
  <si>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</si>
  <si>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</si>
  <si>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</si>
  <si>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</si>
  <si>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</si>
  <si>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</si>
  <si>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</si>
  <si>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</si>
  <si>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</si>
  <si>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</si>
  <si>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</si>
  <si>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</si>
  <si>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</si>
  <si>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</si>
  <si>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</si>
  <si>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</si>
  <si>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</si>
  <si>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</si>
  <si>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</si>
  <si>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</si>
  <si>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</si>
  <si>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</si>
  <si>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</si>
  <si>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</si>
  <si>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</si>
  <si>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</si>
  <si>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</si>
  <si>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</si>
  <si>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</si>
  <si>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</si>
  <si>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</si>
  <si>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</si>
  <si>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</si>
  <si>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</si>
  <si>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</si>
  <si>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</si>
  <si>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</si>
  <si>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</si>
  <si>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</si>
  <si>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</si>
  <si>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</si>
  <si>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</si>
  <si>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</si>
  <si>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</si>
  <si>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</si>
  <si>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</si>
  <si>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</si>
  <si>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</si>
  <si>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</si>
  <si>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</si>
  <si>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</si>
  <si>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</si>
  <si>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</si>
  <si>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</si>
  <si>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</si>
  <si>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</si>
  <si>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</si>
  <si>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</si>
  <si>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</si>
  <si>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</si>
  <si>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</si>
  <si>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</si>
  <si>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</si>
  <si>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</si>
  <si>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</si>
  <si>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</si>
  <si>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</si>
  <si>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</si>
  <si>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</si>
  <si>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</si>
  <si>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</si>
  <si>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</si>
  <si>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</si>
  <si>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</si>
  <si>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</si>
  <si>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</si>
  <si>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</si>
  <si>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</si>
  <si>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</si>
  <si>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</si>
  <si>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</si>
  <si>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</si>
  <si>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</si>
  <si>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</si>
  <si>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</si>
  <si>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</si>
  <si>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</si>
  <si>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</si>
  <si>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</si>
  <si>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</si>
  <si>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</si>
  <si>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</si>
  <si>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</si>
  <si>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</si>
  <si>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</si>
  <si>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</si>
  <si>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</si>
  <si>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</si>
  <si>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</si>
  <si>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</si>
  <si>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</si>
  <si>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</si>
  <si>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</si>
  <si>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</si>
  <si>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</si>
  <si>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</si>
  <si>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</si>
  <si>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</si>
  <si>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</si>
  <si>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</si>
  <si>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</si>
  <si>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</si>
  <si>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</si>
  <si>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</si>
  <si>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</si>
  <si>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</si>
  <si>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</si>
  <si>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</si>
  <si>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</si>
  <si>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</si>
  <si>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</si>
  <si>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</si>
  <si>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</si>
  <si>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</si>
  <si>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</si>
  <si>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</si>
  <si>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</si>
  <si>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</si>
  <si>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</si>
  <si>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</si>
  <si>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</si>
  <si>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</si>
  <si>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</si>
  <si>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</si>
  <si>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</si>
  <si>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</si>
  <si>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</si>
  <si>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</si>
  <si>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</si>
  <si>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</si>
  <si>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</si>
  <si>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</si>
  <si>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</si>
  <si>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</si>
  <si>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</si>
  <si>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</si>
  <si>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</si>
  <si>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</si>
  <si>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</si>
  <si>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</si>
  <si>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</si>
  <si>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</si>
  <si>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</si>
  <si>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</si>
  <si>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</si>
  <si>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</si>
  <si>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</si>
  <si>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</si>
  <si>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</si>
  <si>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</si>
  <si>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</si>
  <si>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</si>
  <si>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</si>
  <si>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</si>
  <si>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</si>
  <si>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</si>
  <si>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</si>
  <si>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</si>
  <si>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</si>
  <si>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</si>
  <si>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</si>
  <si>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</si>
  <si>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</si>
  <si>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</si>
  <si>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</si>
  <si>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</si>
  <si>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</si>
  <si>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</si>
  <si>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</si>
  <si>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</si>
  <si>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</si>
  <si>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</si>
  <si>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</si>
  <si>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</si>
  <si>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</si>
  <si>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</si>
  <si>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</si>
  <si>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</si>
  <si>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</si>
  <si>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</si>
  <si>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</si>
  <si>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</si>
  <si>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</si>
  <si>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</si>
  <si>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</si>
  <si>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</si>
  <si>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</si>
  <si>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</si>
  <si>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</si>
  <si>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</si>
  <si>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</si>
  <si>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</si>
  <si>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</si>
  <si>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</si>
  <si>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</si>
  <si>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</si>
  <si>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</si>
  <si>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</si>
  <si>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</si>
  <si>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</si>
  <si>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</si>
  <si>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</si>
  <si>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</si>
  <si>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</si>
  <si>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</si>
  <si>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</si>
  <si>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</si>
  <si>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</si>
  <si>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</si>
  <si>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</si>
  <si>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</si>
  <si>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</si>
  <si>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</si>
  <si>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</si>
  <si>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</si>
  <si>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</si>
  <si>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</si>
  <si>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</si>
  <si>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</si>
  <si>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</si>
  <si>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</si>
  <si>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</si>
  <si>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</si>
  <si>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</si>
  <si>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</si>
  <si>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</si>
  <si>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</si>
  <si>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</si>
  <si>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</si>
  <si>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</si>
  <si>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</si>
  <si>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</si>
  <si>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</si>
  <si>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</si>
  <si>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</si>
  <si>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</si>
  <si>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</si>
  <si>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</si>
  <si>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</si>
  <si>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</si>
  <si>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</si>
  <si>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</si>
  <si>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</si>
  <si>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</si>
  <si>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</si>
  <si>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</si>
  <si>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</si>
  <si>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</si>
  <si>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</si>
  <si>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</si>
  <si>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</si>
  <si>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</si>
  <si>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</si>
  <si>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</si>
  <si>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</si>
  <si>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</si>
  <si>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</si>
  <si>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</si>
  <si>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</si>
  <si>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</si>
  <si>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</si>
  <si>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</si>
  <si>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</si>
  <si>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</si>
  <si>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</si>
  <si>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</si>
  <si>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</si>
  <si>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</si>
  <si>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</si>
  <si>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</si>
  <si>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</si>
  <si>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</si>
  <si>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</si>
  <si>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</si>
  <si>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</si>
  <si>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</si>
  <si>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</si>
  <si>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</si>
  <si>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</si>
  <si>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</si>
  <si>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</si>
  <si>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</si>
  <si>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</si>
  <si>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</si>
  <si>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</si>
  <si>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</si>
  <si>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</si>
  <si>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</si>
  <si>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</si>
  <si>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</si>
  <si>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</si>
  <si>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</si>
  <si>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</si>
  <si>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</si>
  <si>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</si>
  <si>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</si>
  <si>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</si>
  <si>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</si>
  <si>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</si>
  <si>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</si>
  <si>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</si>
  <si>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</si>
  <si>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</si>
  <si>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</si>
  <si>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</si>
  <si>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</si>
  <si>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</si>
  <si>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</si>
  <si>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</si>
  <si>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</si>
  <si>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</si>
  <si>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</si>
  <si>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</si>
  <si>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</si>
  <si>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</si>
  <si>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</si>
  <si>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</si>
  <si>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</si>
  <si>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</si>
  <si>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</si>
  <si>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</si>
  <si>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</si>
  <si>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</si>
  <si>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</si>
  <si>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</si>
  <si>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</si>
  <si>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</si>
  <si>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</si>
  <si>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</si>
  <si>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</si>
  <si>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</si>
  <si>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</si>
  <si>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</si>
  <si>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</si>
  <si>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</si>
  <si>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</si>
  <si>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</si>
  <si>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</si>
  <si>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</si>
  <si>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</si>
  <si>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</si>
  <si>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</si>
  <si>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</si>
  <si>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</si>
  <si>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</si>
  <si>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</si>
  <si>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</si>
  <si>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</si>
  <si>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</si>
  <si>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</si>
  <si>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</si>
  <si>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</si>
  <si>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</si>
  <si>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</si>
  <si>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</si>
  <si>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</si>
  <si>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</si>
  <si>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</si>
  <si>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</si>
  <si>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</si>
  <si>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</si>
  <si>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</si>
  <si>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</si>
  <si>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</si>
  <si>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</si>
  <si>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</si>
  <si>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</si>
  <si>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</si>
  <si>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</si>
  <si>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</si>
  <si>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</si>
  <si>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</si>
  <si>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</si>
  <si>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</si>
  <si>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</si>
  <si>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</si>
  <si>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</si>
  <si>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</si>
  <si>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</si>
  <si>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</si>
  <si>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</si>
  <si>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</si>
  <si>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</si>
  <si>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</si>
  <si>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</si>
  <si>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</si>
  <si>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</si>
  <si>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</si>
  <si>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</si>
  <si>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</si>
  <si>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</si>
  <si>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</si>
  <si>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</si>
  <si>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</si>
  <si>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</si>
  <si>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</si>
  <si>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</si>
  <si>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</si>
  <si>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</si>
  <si>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</si>
  <si>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</si>
  <si>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</si>
  <si>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</si>
  <si>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</si>
  <si>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</si>
  <si>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</si>
  <si>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</si>
  <si>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</si>
  <si>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</si>
  <si>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</si>
  <si>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</si>
  <si>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</si>
  <si>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</si>
  <si>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</si>
  <si>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</si>
  <si>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</si>
  <si>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</si>
  <si>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</si>
  <si>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</si>
  <si>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</si>
  <si>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</si>
  <si>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</si>
  <si>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</si>
  <si>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</si>
  <si>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</si>
  <si>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</si>
  <si>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</si>
  <si>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</si>
  <si>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</si>
  <si>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</si>
  <si>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</si>
  <si>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</si>
  <si>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</si>
  <si>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</si>
  <si>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</si>
  <si>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</si>
  <si>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</si>
  <si>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</si>
  <si>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</si>
  <si>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</si>
  <si>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</si>
  <si>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</si>
  <si>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</si>
  <si>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</si>
  <si>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</si>
  <si>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</si>
  <si>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</si>
  <si>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</si>
  <si>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</si>
  <si>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</si>
  <si>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</si>
  <si>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</si>
  <si>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</si>
  <si>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</si>
  <si>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</si>
  <si>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</si>
  <si>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</si>
  <si>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</si>
  <si>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</si>
  <si>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</si>
  <si>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</si>
  <si>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</si>
  <si>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</si>
  <si>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</si>
  <si>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</si>
  <si>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</si>
  <si>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</si>
  <si>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</si>
  <si>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</si>
  <si>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</si>
  <si>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</si>
  <si>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</si>
  <si>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</si>
  <si>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</si>
  <si>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</si>
  <si>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</si>
  <si>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</si>
  <si>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</si>
  <si>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</si>
  <si>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</si>
  <si>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</si>
  <si>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</si>
  <si>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</si>
  <si>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</si>
  <si>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</si>
  <si>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</si>
  <si>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</si>
  <si>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</si>
  <si>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</si>
  <si>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</si>
  <si>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</si>
  <si>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</si>
  <si>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</si>
  <si>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</si>
  <si>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</si>
  <si>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</si>
  <si>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</si>
  <si>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</si>
  <si>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</si>
  <si>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</si>
  <si>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</si>
  <si>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</si>
  <si>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</si>
  <si>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</si>
  <si>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</si>
  <si>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</si>
  <si>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</si>
  <si>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</si>
  <si>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</si>
  <si>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</si>
  <si>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</si>
  <si>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</si>
  <si>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</si>
  <si>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</si>
  <si>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</si>
  <si>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</si>
  <si>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</si>
  <si>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</si>
  <si>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</si>
  <si>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</si>
  <si>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</si>
  <si>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</si>
  <si>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</si>
  <si>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</si>
  <si>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</si>
  <si>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</si>
  <si>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</si>
  <si>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</si>
  <si>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</si>
  <si>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</si>
  <si>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</si>
  <si>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</si>
  <si>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</si>
  <si>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</si>
  <si>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</si>
  <si>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</si>
  <si>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</si>
  <si>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</si>
  <si>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</si>
  <si>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</si>
  <si>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</si>
  <si>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</si>
  <si>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</si>
  <si>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</si>
  <si>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</si>
  <si>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</si>
  <si>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</si>
  <si>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</si>
  <si>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</si>
  <si>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</si>
  <si>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</si>
  <si>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</si>
  <si>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</si>
  <si>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</si>
  <si>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</si>
  <si>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</si>
  <si>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</si>
  <si>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</si>
  <si>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</si>
  <si>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</si>
  <si>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</si>
  <si>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</si>
  <si>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</si>
  <si>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</si>
  <si>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</si>
  <si>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</si>
  <si>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</si>
  <si>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</si>
  <si>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</si>
  <si>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</si>
  <si>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</si>
  <si>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</si>
  <si>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</si>
  <si>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</si>
  <si>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</si>
  <si>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</si>
  <si>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</si>
  <si>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</si>
  <si>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</si>
  <si>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</si>
  <si>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</si>
  <si>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</si>
  <si>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</si>
  <si>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</si>
  <si>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</si>
  <si>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</si>
  <si>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</si>
  <si>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</si>
  <si>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</si>
  <si>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</si>
  <si>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</si>
  <si>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</si>
  <si>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</si>
  <si>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</si>
  <si>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</si>
  <si>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</si>
  <si>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</si>
  <si>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</si>
  <si>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</si>
  <si>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</si>
  <si>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</si>
  <si>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</si>
  <si>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</si>
  <si>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</si>
  <si>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</si>
  <si>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</si>
  <si>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</si>
  <si>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</si>
  <si>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</si>
  <si>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</si>
  <si>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</si>
  <si>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</si>
  <si>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</si>
  <si>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</si>
  <si>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</si>
  <si>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</si>
  <si>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</si>
  <si>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</si>
  <si>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</si>
  <si>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</si>
  <si>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</si>
  <si>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</si>
  <si>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</si>
  <si>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</si>
  <si>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</si>
  <si>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</si>
  <si>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</si>
  <si>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</si>
  <si>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</si>
  <si>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</si>
  <si>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</si>
  <si>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</si>
  <si>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</si>
  <si>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</si>
  <si>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</si>
  <si>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</si>
  <si>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</si>
  <si>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</si>
  <si>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</si>
  <si>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</si>
  <si>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</si>
  <si>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</si>
  <si>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</si>
  <si>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</si>
  <si>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</si>
  <si>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</si>
  <si>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</si>
  <si>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</si>
  <si>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</si>
  <si>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</si>
  <si>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</si>
  <si>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</si>
  <si>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</si>
  <si>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</si>
  <si>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</si>
  <si>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</si>
  <si>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</si>
  <si>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</si>
  <si>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</si>
  <si>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</si>
  <si>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</si>
  <si>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</si>
  <si>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</si>
  <si>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</si>
  <si>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</si>
  <si>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</si>
  <si>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</si>
  <si>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</si>
  <si>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</si>
  <si>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</si>
  <si>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</si>
  <si>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</si>
  <si>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</si>
  <si>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</si>
  <si>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</si>
  <si>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</si>
  <si>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</si>
  <si>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</si>
  <si>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</si>
  <si>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</si>
  <si>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</si>
  <si>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</si>
  <si>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</si>
  <si>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</si>
  <si>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</si>
  <si>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</si>
  <si>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</si>
  <si>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</si>
  <si>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</si>
  <si>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</si>
  <si>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</si>
  <si>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</si>
  <si>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</si>
  <si>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</si>
  <si>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</si>
  <si>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</si>
  <si>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</si>
  <si>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</si>
  <si>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</si>
  <si>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</si>
  <si>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</si>
  <si>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</si>
  <si>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</si>
  <si>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</si>
  <si>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</si>
  <si>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</si>
  <si>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</si>
  <si>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</si>
  <si>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</si>
  <si>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</si>
  <si>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</si>
  <si>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</si>
  <si>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</si>
  <si>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</si>
  <si>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</si>
  <si>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</si>
  <si>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</si>
  <si>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</si>
  <si>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</si>
  <si>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</si>
  <si>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</si>
  <si>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</si>
  <si>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</si>
  <si>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</si>
  <si>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</si>
  <si>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</si>
  <si>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</si>
  <si>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</si>
  <si>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</si>
  <si>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</si>
  <si>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</si>
  <si>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</si>
  <si>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</si>
  <si>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</si>
  <si>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</si>
  <si>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</si>
  <si>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</si>
  <si>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</si>
  <si>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</si>
  <si>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</si>
  <si>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</si>
  <si>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</si>
  <si>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</si>
  <si>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</si>
  <si>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</si>
  <si>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</si>
  <si>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</si>
  <si>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</si>
  <si>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</si>
  <si>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</si>
  <si>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</si>
  <si>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</si>
  <si>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</si>
  <si>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</si>
  <si>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</si>
  <si>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</si>
  <si>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</si>
  <si>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</si>
  <si>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</si>
  <si>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</si>
  <si>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</si>
  <si>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</si>
  <si>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</si>
  <si>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</si>
  <si>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</si>
  <si>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</si>
  <si>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</si>
  <si>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</si>
  <si>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</si>
  <si>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</si>
  <si>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</si>
  <si>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</si>
  <si>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</si>
  <si>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</si>
  <si>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</si>
  <si>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</si>
  <si>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</si>
  <si>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</si>
  <si>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</si>
  <si>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</si>
  <si>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</si>
  <si>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</si>
  <si>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</si>
  <si>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</si>
  <si>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</si>
  <si>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</si>
  <si>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</si>
  <si>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</si>
  <si>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</si>
  <si>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</si>
  <si>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</si>
  <si>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</si>
  <si>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</si>
  <si>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</si>
  <si>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</si>
  <si>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</si>
  <si>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</si>
  <si>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</si>
  <si>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</si>
  <si>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</si>
  <si>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</si>
  <si>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</si>
  <si>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</si>
  <si>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</si>
  <si>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</si>
  <si>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</si>
  <si>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</si>
  <si>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</si>
  <si>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</si>
  <si>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</si>
  <si>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</si>
  <si>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</si>
  <si>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</si>
  <si>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</si>
  <si>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</si>
  <si>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</si>
  <si>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</si>
  <si>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</si>
  <si>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</si>
  <si>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</si>
  <si>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</si>
  <si>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</si>
  <si>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</si>
  <si>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</si>
  <si>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</si>
  <si>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</si>
  <si>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</si>
  <si>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</si>
  <si>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</si>
  <si>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</si>
  <si>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</si>
  <si>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</si>
  <si>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</si>
  <si>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</si>
  <si>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</si>
  <si>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</si>
  <si>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</si>
  <si>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</si>
  <si>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</si>
  <si>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</si>
  <si>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</si>
  <si>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</si>
  <si>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</si>
  <si>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</si>
  <si>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</si>
  <si>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</si>
  <si>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</si>
  <si>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</si>
  <si>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</si>
  <si>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</si>
  <si>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</si>
  <si>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</si>
  <si>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</si>
  <si>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</si>
  <si>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</si>
  <si>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</si>
  <si>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</si>
  <si>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</si>
  <si>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</si>
  <si>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</si>
  <si>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</si>
  <si>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</si>
  <si>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</si>
  <si>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</si>
  <si>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</si>
  <si>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</si>
  <si>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</si>
  <si>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</si>
  <si>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</si>
  <si>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</si>
  <si>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</si>
  <si>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</si>
  <si>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</si>
  <si>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</si>
  <si>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</si>
  <si>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</si>
  <si>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</si>
  <si>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</si>
  <si>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</si>
  <si>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</si>
  <si>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</si>
  <si>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</si>
  <si>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</si>
  <si>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</si>
  <si>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</si>
  <si>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</si>
  <si>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</si>
  <si>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</si>
  <si>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</si>
  <si>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</si>
  <si>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</si>
  <si>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</si>
  <si>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</si>
  <si>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</si>
  <si>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</si>
  <si>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</si>
  <si>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</si>
  <si>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</si>
  <si>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</si>
  <si>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</si>
  <si>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</si>
  <si>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</si>
  <si>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</si>
  <si>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</si>
  <si>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</si>
  <si>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</si>
  <si>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</si>
  <si>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</si>
  <si>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</si>
  <si>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</si>
  <si>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</si>
  <si>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</si>
  <si>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</si>
  <si>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</si>
  <si>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</si>
  <si>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</si>
  <si>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</si>
  <si>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</si>
  <si>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</si>
  <si>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</si>
  <si>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</si>
  <si>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</si>
  <si>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</si>
  <si>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</si>
  <si>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</si>
  <si>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</si>
  <si>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</si>
  <si>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</si>
  <si>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</si>
  <si>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</si>
  <si>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</si>
  <si>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</si>
  <si>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</si>
  <si>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</si>
  <si>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</si>
  <si>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</si>
  <si>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</si>
  <si>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</si>
  <si>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</si>
  <si>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</si>
  <si>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</si>
  <si>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</si>
  <si>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</si>
  <si>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</si>
  <si>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</si>
  <si>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</si>
  <si>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</si>
  <si>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</si>
  <si>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</si>
  <si>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</si>
  <si>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</si>
  <si>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</si>
  <si>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</si>
  <si>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</si>
  <si>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</si>
  <si>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</si>
  <si>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</si>
  <si>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</si>
  <si>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</si>
  <si>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</si>
  <si>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</si>
  <si>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</si>
  <si>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</si>
  <si>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</si>
  <si>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</si>
  <si>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</si>
  <si>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</si>
  <si>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</si>
  <si>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</si>
  <si>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</si>
  <si>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</si>
  <si>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</si>
  <si>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</si>
  <si>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</si>
  <si>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</si>
  <si>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</si>
  <si>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</si>
  <si>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</si>
  <si>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</si>
  <si>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</si>
  <si>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</si>
  <si>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</si>
  <si>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</si>
  <si>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</si>
  <si>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</si>
  <si>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</si>
  <si>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</si>
  <si>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</si>
  <si>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</si>
  <si>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</si>
  <si>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</si>
  <si>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</si>
  <si>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</si>
  <si>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</si>
  <si>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</si>
  <si>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</si>
  <si>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</si>
  <si>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</si>
  <si>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</si>
  <si>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</si>
  <si>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</si>
  <si>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</si>
  <si>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</si>
  <si>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</si>
  <si>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</si>
  <si>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</si>
  <si>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</si>
  <si>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</si>
  <si>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</si>
  <si>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</si>
  <si>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</si>
  <si>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</si>
  <si>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</si>
  <si>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</si>
  <si>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</si>
  <si>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</si>
  <si>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</si>
  <si>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</si>
  <si>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</si>
  <si>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</si>
  <si>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</si>
  <si>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</si>
  <si>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</si>
  <si>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</si>
  <si>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</si>
  <si>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</si>
  <si>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</si>
  <si>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</si>
  <si>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</si>
  <si>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</si>
  <si>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</si>
  <si>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</si>
  <si>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</si>
  <si>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</si>
  <si>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</si>
  <si>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</si>
  <si>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</si>
  <si>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</si>
  <si>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</si>
  <si>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</si>
  <si>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</si>
  <si>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</si>
  <si>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</si>
  <si>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</si>
  <si>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</si>
  <si>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</si>
  <si>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</si>
  <si>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</si>
  <si>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</si>
  <si>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</si>
  <si>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</si>
  <si>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</si>
  <si>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</si>
  <si>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</si>
  <si>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</si>
  <si>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</si>
  <si>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</si>
  <si>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</si>
  <si>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</si>
  <si>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</si>
  <si>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</si>
  <si>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</si>
  <si>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</si>
  <si>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</si>
  <si>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</si>
  <si>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</si>
  <si>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</si>
  <si>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</si>
  <si>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</si>
  <si>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</si>
  <si>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</si>
  <si>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</si>
  <si>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</si>
  <si>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</si>
  <si>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</si>
  <si>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</si>
  <si>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</si>
  <si>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</si>
  <si>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</si>
  <si>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</si>
  <si>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</si>
  <si>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</si>
  <si>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</si>
  <si>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</si>
  <si>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</si>
  <si>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</si>
  <si>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</si>
  <si>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</si>
  <si>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</si>
  <si>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</si>
  <si>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</si>
  <si>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</si>
  <si>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</si>
  <si>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</si>
  <si>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</si>
  <si>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</si>
  <si>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</si>
  <si>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</si>
  <si>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</si>
  <si>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</si>
  <si>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</si>
  <si>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</si>
  <si>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</si>
  <si>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</si>
  <si>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</si>
  <si>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</si>
  <si>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</si>
  <si>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</si>
  <si>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</si>
  <si>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</si>
  <si>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</si>
  <si>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</si>
  <si>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</si>
  <si>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</si>
  <si>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</si>
  <si>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</si>
  <si>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</si>
  <si>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</si>
  <si>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</si>
  <si>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</si>
  <si>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</si>
  <si>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</si>
  <si>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</si>
  <si>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</si>
  <si>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</si>
  <si>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</si>
  <si>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</si>
  <si>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</si>
  <si>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</si>
  <si>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</si>
  <si>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</si>
  <si>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</si>
  <si>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</si>
  <si>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</si>
  <si>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</si>
  <si>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</si>
  <si>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</si>
  <si>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</si>
  <si>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</si>
  <si>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</si>
  <si>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</si>
  <si>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</si>
  <si>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</si>
  <si>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</si>
  <si>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</si>
  <si>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</si>
  <si>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</si>
  <si>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</si>
  <si>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</si>
  <si>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</si>
  <si>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</si>
  <si>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</si>
  <si>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</si>
  <si>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</si>
  <si>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</si>
  <si>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</si>
  <si>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</si>
  <si>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</si>
  <si>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</si>
  <si>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</si>
  <si>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</si>
  <si>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</si>
  <si>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</si>
  <si>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</si>
  <si>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</si>
  <si>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</si>
  <si>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</si>
  <si>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</si>
  <si>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</si>
  <si>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</si>
  <si>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</si>
  <si>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</si>
  <si>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</si>
  <si>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</si>
  <si>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</si>
  <si>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</si>
  <si>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</si>
  <si>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</si>
  <si>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</si>
  <si>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</si>
  <si>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</si>
  <si>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</si>
  <si>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</si>
  <si>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</si>
  <si>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</si>
  <si>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</si>
  <si>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</si>
  <si>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</si>
  <si>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</si>
  <si>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</si>
  <si>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</si>
  <si>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</si>
  <si>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</si>
  <si>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</si>
  <si>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</si>
  <si>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</si>
  <si>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</si>
  <si>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</si>
  <si>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</si>
  <si>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</si>
  <si>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</si>
  <si>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</si>
  <si>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</si>
  <si>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</si>
  <si>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</si>
  <si>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</si>
  <si>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</si>
  <si>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</si>
  <si>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</si>
  <si>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</si>
  <si>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</si>
  <si>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</si>
  <si>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</si>
  <si>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</si>
  <si>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</si>
  <si>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</si>
  <si>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</si>
  <si>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</si>
  <si>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</si>
  <si>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</si>
  <si>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</si>
  <si>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</si>
  <si>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</si>
  <si>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</si>
  <si>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</si>
  <si>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</si>
  <si>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</si>
  <si>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</si>
  <si>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</si>
  <si>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</si>
  <si>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</si>
  <si>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</si>
  <si>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</si>
  <si>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</si>
  <si>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</si>
  <si>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</si>
  <si>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</si>
  <si>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</si>
  <si>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</si>
  <si>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</si>
  <si>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</si>
  <si>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</si>
  <si>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</si>
  <si>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</si>
  <si>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</si>
  <si>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</si>
  <si>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</si>
  <si>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</si>
  <si>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</si>
  <si>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</si>
  <si>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</si>
  <si>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</si>
  <si>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</si>
  <si>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</si>
  <si>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</si>
  <si>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</si>
  <si>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</si>
  <si>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</si>
  <si>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</si>
  <si>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</si>
  <si>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</si>
  <si>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</si>
  <si>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</si>
  <si>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</si>
  <si>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</si>
  <si>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</si>
  <si>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</si>
  <si>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</si>
  <si>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</si>
  <si>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</si>
  <si>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</si>
  <si>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</si>
  <si>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</si>
  <si>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</si>
  <si>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</si>
  <si>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</si>
  <si>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</si>
  <si>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</si>
  <si>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</si>
  <si>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</si>
  <si>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</si>
  <si>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</si>
  <si>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</si>
  <si>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</si>
  <si>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</si>
  <si>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</si>
  <si>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</si>
  <si>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</si>
  <si>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</si>
  <si>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</si>
  <si>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</si>
  <si>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</si>
  <si>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</si>
  <si>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</si>
  <si>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</si>
  <si>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</si>
  <si>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</si>
  <si>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</si>
  <si>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</si>
  <si>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</si>
  <si>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</si>
  <si>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</si>
  <si>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</si>
  <si>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</si>
  <si>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</si>
  <si>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</si>
  <si>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</si>
  <si>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</si>
  <si>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</si>
  <si>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</si>
  <si>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</si>
  <si>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</si>
  <si>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</si>
  <si>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</si>
  <si>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</si>
  <si>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</si>
  <si>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</si>
  <si>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</si>
  <si>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</si>
  <si>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</si>
  <si>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</si>
  <si>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</si>
  <si>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</si>
  <si>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</si>
  <si>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</si>
  <si>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</si>
  <si>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</si>
  <si>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</si>
  <si>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</si>
  <si>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</si>
  <si>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</si>
  <si>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</si>
  <si>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</si>
  <si>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</si>
  <si>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</si>
  <si>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</si>
  <si>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</si>
  <si>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</si>
  <si>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</si>
  <si>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</si>
  <si>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</si>
  <si>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</si>
  <si>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</si>
  <si>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</si>
  <si>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</si>
  <si>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</si>
  <si>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</si>
  <si>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</si>
  <si>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</si>
  <si>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</si>
  <si>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</si>
  <si>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</si>
  <si>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</si>
  <si>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</si>
  <si>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</si>
  <si>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</si>
  <si>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</si>
  <si>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</si>
  <si>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</si>
  <si>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</si>
  <si>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</si>
  <si>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</si>
  <si>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</si>
  <si>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</si>
  <si>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</si>
  <si>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</si>
  <si>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</si>
  <si>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</si>
  <si>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</si>
  <si>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</si>
  <si>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</si>
  <si>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</si>
  <si>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</si>
  <si>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</si>
  <si>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</si>
  <si>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</si>
  <si>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</si>
  <si>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</si>
  <si>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</si>
  <si>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</si>
  <si>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</si>
  <si>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</si>
  <si>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</si>
  <si>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</si>
  <si>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</si>
  <si>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</si>
  <si>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</si>
  <si>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</si>
  <si>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</si>
  <si>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</si>
  <si>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</si>
  <si>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</si>
  <si>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</si>
  <si>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</si>
  <si>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</si>
  <si>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</si>
  <si>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</si>
  <si>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</si>
  <si>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</si>
  <si>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</si>
  <si>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</si>
  <si>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</si>
  <si>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</si>
  <si>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</si>
  <si>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</si>
  <si>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</si>
  <si>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</si>
  <si>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</si>
  <si>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</si>
  <si>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</si>
  <si>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</si>
  <si>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</si>
  <si>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</si>
  <si>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</si>
  <si>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</si>
  <si>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</si>
  <si>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</si>
  <si>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</si>
  <si>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</si>
  <si>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</si>
  <si>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</si>
  <si>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</si>
  <si>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</si>
  <si>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</si>
  <si>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</si>
  <si>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</si>
  <si>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</si>
  <si>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</si>
  <si>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</si>
  <si>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</si>
  <si>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</si>
  <si>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</si>
  <si>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</si>
  <si>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</si>
  <si>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</si>
  <si>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</si>
  <si>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</si>
  <si>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</si>
  <si>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</si>
  <si>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</si>
  <si>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</si>
  <si>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</si>
  <si>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</si>
  <si>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</si>
  <si>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</si>
  <si>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</si>
  <si>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</si>
  <si>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</si>
  <si>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</si>
  <si>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</si>
  <si>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</si>
  <si>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</si>
  <si>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</si>
  <si>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</si>
  <si>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</si>
  <si>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</si>
  <si>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</si>
  <si>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</si>
  <si>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</si>
  <si>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</si>
  <si>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</si>
  <si>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</si>
  <si>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</si>
  <si>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</si>
  <si>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</si>
  <si>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</si>
  <si>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</si>
  <si>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</si>
  <si>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</si>
  <si>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</si>
  <si>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</si>
  <si>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</si>
  <si>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</si>
  <si>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</si>
  <si>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</si>
  <si>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</si>
  <si>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</si>
  <si>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</si>
  <si>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</si>
  <si>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</si>
  <si>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</si>
  <si>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</si>
  <si>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</si>
  <si>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</si>
  <si>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</si>
  <si>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</si>
  <si>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</si>
  <si>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</si>
  <si>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</si>
  <si>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</si>
  <si>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</si>
  <si>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</si>
  <si>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</si>
  <si>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</si>
  <si>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</si>
  <si>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</si>
  <si>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</si>
  <si>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</si>
  <si>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</si>
  <si>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</si>
  <si>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</si>
  <si>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</si>
  <si>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</si>
  <si>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</si>
  <si>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</si>
  <si>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</si>
  <si>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</si>
  <si>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</si>
  <si>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</si>
  <si>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</si>
  <si>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</si>
  <si>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</si>
  <si>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</si>
  <si>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</si>
  <si>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</si>
  <si>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</si>
  <si>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</si>
  <si>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</si>
  <si>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</si>
  <si>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</si>
  <si>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</si>
  <si>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</si>
  <si>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</si>
  <si>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</si>
  <si>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</si>
  <si>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</si>
  <si>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</si>
  <si>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</si>
  <si>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</si>
  <si>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</si>
  <si>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</si>
  <si>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</si>
  <si>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</si>
  <si>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</si>
  <si>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</si>
  <si>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</si>
  <si>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</si>
  <si>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</si>
  <si>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</si>
  <si>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</si>
  <si>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</si>
  <si>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</si>
  <si>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</si>
  <si>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</si>
  <si>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</si>
  <si>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</si>
  <si>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</si>
  <si>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</si>
  <si>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</si>
  <si>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</si>
  <si>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</si>
  <si>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</si>
  <si>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</si>
  <si>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</si>
  <si>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</si>
  <si>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</si>
  <si>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</si>
  <si>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</si>
  <si>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</si>
  <si>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</si>
  <si>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</si>
  <si>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</si>
  <si>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</si>
  <si>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</si>
  <si>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</si>
  <si>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</si>
  <si>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</si>
  <si>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</si>
  <si>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</si>
  <si>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</si>
  <si>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</si>
  <si>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</si>
  <si>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</si>
  <si>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</si>
  <si>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</si>
  <si>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</si>
  <si>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</si>
  <si>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</si>
  <si>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</si>
  <si>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</si>
  <si>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</si>
  <si>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</si>
  <si>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</si>
  <si>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</si>
  <si>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</si>
  <si>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</si>
  <si>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</si>
  <si>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</si>
  <si>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</si>
  <si>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</si>
  <si>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</si>
  <si>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</si>
  <si>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</si>
  <si>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</si>
  <si>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</si>
  <si>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</si>
  <si>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</si>
  <si>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</si>
  <si>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</si>
  <si>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</si>
  <si>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</si>
  <si>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</si>
  <si>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</si>
  <si>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</si>
  <si>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</si>
  <si>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</si>
  <si>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</si>
  <si>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</si>
  <si>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</si>
  <si>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</si>
  <si>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</si>
  <si>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</si>
  <si>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</si>
  <si>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</si>
  <si>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</si>
  <si>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</si>
  <si>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</si>
  <si>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</si>
  <si>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</si>
  <si>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</si>
  <si>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</si>
  <si>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</si>
  <si>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</si>
  <si>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</si>
  <si>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</si>
  <si>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</si>
  <si>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</si>
  <si>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</si>
  <si>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</si>
  <si>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</si>
  <si>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</si>
  <si>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</si>
  <si>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</si>
  <si>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</si>
  <si>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</si>
  <si>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</si>
  <si>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</si>
  <si>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</si>
  <si>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</si>
  <si>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</si>
  <si>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</si>
  <si>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</si>
  <si>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</si>
  <si>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</si>
  <si>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</si>
  <si>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</si>
  <si>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</si>
  <si>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</si>
  <si>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</si>
  <si>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</si>
  <si>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</si>
  <si>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</si>
  <si>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</si>
  <si>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</si>
  <si>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</si>
  <si>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</si>
  <si>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</si>
  <si>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</si>
  <si>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</si>
  <si>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</si>
  <si>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</si>
  <si>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</si>
  <si>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</si>
  <si>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</si>
  <si>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</si>
  <si>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</si>
  <si>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</si>
  <si>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</si>
  <si>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</si>
  <si>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</si>
  <si>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</si>
  <si>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</si>
  <si>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</si>
  <si>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</si>
  <si>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</si>
  <si>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</si>
  <si>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</si>
  <si>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</si>
  <si>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</si>
  <si>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</si>
  <si>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</si>
  <si>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</si>
  <si>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</si>
  <si>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</si>
  <si>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</si>
  <si>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</si>
  <si>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</si>
  <si>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</si>
  <si>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</si>
  <si>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</si>
  <si>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</si>
  <si>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</si>
  <si>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</si>
  <si>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</si>
  <si>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</si>
  <si>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</si>
  <si>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</si>
  <si>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</si>
  <si>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</si>
  <si>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</si>
  <si>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</si>
  <si>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</si>
  <si>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</si>
  <si>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</si>
  <si>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</si>
  <si>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</si>
  <si>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</si>
  <si>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</si>
  <si>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</si>
  <si>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</si>
  <si>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</si>
  <si>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</si>
  <si>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</si>
  <si>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</si>
  <si>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</si>
  <si>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</si>
  <si>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</si>
  <si>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</si>
  <si>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</si>
  <si>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</si>
  <si>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</si>
  <si>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</si>
  <si>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</si>
  <si>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</si>
  <si>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</si>
  <si>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</si>
  <si>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</si>
  <si>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</si>
  <si>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</si>
  <si>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</si>
  <si>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</si>
  <si>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</si>
  <si>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</si>
  <si>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</si>
  <si>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</si>
  <si>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</si>
  <si>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</si>
  <si>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</si>
  <si>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</si>
  <si>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</si>
  <si>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</si>
  <si>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</si>
  <si>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</si>
  <si>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</si>
  <si>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</si>
  <si>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</si>
  <si>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</si>
  <si>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</si>
  <si>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</si>
  <si>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</si>
  <si>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</si>
  <si>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</si>
  <si>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</si>
  <si>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</si>
  <si>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</si>
  <si>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</si>
  <si>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</si>
  <si>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</si>
  <si>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</si>
  <si>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</si>
  <si>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</si>
  <si>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</si>
  <si>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</si>
  <si>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</si>
  <si>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</si>
  <si>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</si>
  <si>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</si>
  <si>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</si>
  <si>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</si>
  <si>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</si>
  <si>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</si>
  <si>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</si>
  <si>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</si>
  <si>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</si>
  <si>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</si>
  <si>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</si>
  <si>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</si>
  <si>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</si>
  <si>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</si>
  <si>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</si>
  <si>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</si>
  <si>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</si>
  <si>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</si>
  <si>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</si>
  <si>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</si>
  <si>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</si>
  <si>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</si>
  <si>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</si>
  <si>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</si>
  <si>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</si>
  <si>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</si>
  <si>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</si>
  <si>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</si>
  <si>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</si>
  <si>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</si>
  <si>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</si>
  <si>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</si>
  <si>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</si>
  <si>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</si>
  <si>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</si>
  <si>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</si>
  <si>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</si>
  <si>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</si>
  <si>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</si>
  <si>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</si>
  <si>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</si>
  <si>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</si>
  <si>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</si>
  <si>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</si>
  <si>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</si>
  <si>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</si>
  <si>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</si>
  <si>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</si>
  <si>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</si>
  <si>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</si>
  <si>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</si>
  <si>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</si>
  <si>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</si>
  <si>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</si>
  <si>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</si>
  <si>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</si>
  <si>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</si>
  <si>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</si>
  <si>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</si>
  <si>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</si>
  <si>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</si>
  <si>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</si>
  <si>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</si>
  <si>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</si>
  <si>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</si>
  <si>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</si>
  <si>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</si>
  <si>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</si>
  <si>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</si>
  <si>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</si>
  <si>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</si>
  <si>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</si>
  <si>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</si>
  <si>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</si>
  <si>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</si>
  <si>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</si>
  <si>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</si>
  <si>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</si>
  <si>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</si>
  <si>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</si>
  <si>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</si>
  <si>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</si>
  <si>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</si>
  <si>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</si>
  <si>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</si>
  <si>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</si>
  <si>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</si>
  <si>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</si>
  <si>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</si>
  <si>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</si>
  <si>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</si>
  <si>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</si>
  <si>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</si>
  <si>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</si>
  <si>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</si>
  <si>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</si>
  <si>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</si>
  <si>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</si>
  <si>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</si>
  <si>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</si>
  <si>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</si>
  <si>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</si>
  <si>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</si>
  <si>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</si>
  <si>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</si>
  <si>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</si>
  <si>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</si>
  <si>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</si>
  <si>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</si>
  <si>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</si>
  <si>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</si>
  <si>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</si>
  <si>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</si>
  <si>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</si>
  <si>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</si>
  <si>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</si>
  <si>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</si>
  <si>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</si>
  <si>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</si>
  <si>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</si>
  <si>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</si>
  <si>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</si>
  <si>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</si>
  <si>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</si>
  <si>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</si>
  <si>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</si>
  <si>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</si>
  <si>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</si>
  <si>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</si>
  <si>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</si>
  <si>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</si>
  <si>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</si>
  <si>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</si>
  <si>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</si>
  <si>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</si>
  <si>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</si>
  <si>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</si>
  <si>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</si>
  <si>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</si>
  <si>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</si>
  <si>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</si>
  <si>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</si>
  <si>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</si>
  <si>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</si>
  <si>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</si>
  <si>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</si>
  <si>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</si>
  <si>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</si>
  <si>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</si>
  <si>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</si>
  <si>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</si>
  <si>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</si>
  <si>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</si>
  <si>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</si>
  <si>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</si>
  <si>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</si>
  <si>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</si>
  <si>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</si>
  <si>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</si>
  <si>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</si>
  <si>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</si>
  <si>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</si>
  <si>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</si>
  <si>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</si>
  <si>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</si>
  <si>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</si>
  <si>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</si>
  <si>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</si>
  <si>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</si>
  <si>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</si>
  <si>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</si>
  <si>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</si>
  <si>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</si>
  <si>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</si>
  <si>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</si>
  <si>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</si>
  <si>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</si>
  <si>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</si>
  <si>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</si>
  <si>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</si>
  <si>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</si>
  <si>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</si>
  <si>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</si>
  <si>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</si>
  <si>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</si>
  <si>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</si>
  <si>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</si>
  <si>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</si>
  <si>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</si>
  <si>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</si>
  <si>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</si>
  <si>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</si>
  <si>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</si>
  <si>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</si>
  <si>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</si>
  <si>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</si>
  <si>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</si>
  <si>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</si>
  <si>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</si>
  <si>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</si>
  <si>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</si>
  <si>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</si>
  <si>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</si>
  <si>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</si>
  <si>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</si>
  <si>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</si>
  <si>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</si>
  <si>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</si>
  <si>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</si>
  <si>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</si>
  <si>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</si>
  <si>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</si>
  <si>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</si>
  <si>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</si>
  <si>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</si>
  <si>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</si>
  <si>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</si>
  <si>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</si>
  <si>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</si>
  <si>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</si>
  <si>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</si>
  <si>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</si>
  <si>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</si>
  <si>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</si>
  <si>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</si>
  <si>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</si>
  <si>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</si>
  <si>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</si>
  <si>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</si>
  <si>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</si>
  <si>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</si>
  <si>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</si>
  <si>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</si>
  <si>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</si>
  <si>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</si>
  <si>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</si>
  <si>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</si>
  <si>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</si>
  <si>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</si>
  <si>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</si>
  <si>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</si>
  <si>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</si>
  <si>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</si>
  <si>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</si>
  <si>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</si>
  <si>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</si>
  <si>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</si>
  <si>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</si>
  <si>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</si>
  <si>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</si>
  <si>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</si>
  <si>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</si>
  <si>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</si>
  <si>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</si>
  <si>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</si>
  <si>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</si>
  <si>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</si>
  <si>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</si>
  <si>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</si>
  <si>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</si>
  <si>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</si>
  <si>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</si>
  <si>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</si>
  <si>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</si>
  <si>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</si>
  <si>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</si>
  <si>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</si>
  <si>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</si>
  <si>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</si>
  <si>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</si>
  <si>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</si>
  <si>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</si>
  <si>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</si>
  <si>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</si>
  <si>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</si>
  <si>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</si>
  <si>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</si>
  <si>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</si>
  <si>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</si>
  <si>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</si>
  <si>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</si>
  <si>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</si>
  <si>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</si>
  <si>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</si>
  <si>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</si>
  <si>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</si>
  <si>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</si>
  <si>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</si>
  <si>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</si>
  <si>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</si>
  <si>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</si>
  <si>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</si>
  <si>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</si>
  <si>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</si>
  <si>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</si>
  <si>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</si>
  <si>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</si>
  <si>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</si>
  <si>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</si>
  <si>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</si>
  <si>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</si>
  <si>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</si>
  <si>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</si>
  <si>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</si>
  <si>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</si>
  <si>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</si>
  <si>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</si>
  <si>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</si>
  <si>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</si>
  <si>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</si>
  <si>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</si>
  <si>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</si>
  <si>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</si>
  <si>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</si>
  <si>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</si>
  <si>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</si>
  <si>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</si>
  <si>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</si>
  <si>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</si>
  <si>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</si>
  <si>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</si>
  <si>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</si>
  <si>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</si>
  <si>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</si>
  <si>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</si>
  <si>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</si>
  <si>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</si>
  <si>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</si>
  <si>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</si>
  <si>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</si>
  <si>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</si>
  <si>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</si>
  <si>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</si>
  <si>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</si>
  <si>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</si>
  <si>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</si>
  <si>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</si>
  <si>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</si>
  <si>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</si>
  <si>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</si>
  <si>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</si>
  <si>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</si>
  <si>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</si>
  <si>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</si>
  <si>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</si>
  <si>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</si>
  <si>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</si>
  <si>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</si>
  <si>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</si>
  <si>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</si>
  <si>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</si>
  <si>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</si>
  <si>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</si>
  <si>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</si>
  <si>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</si>
  <si>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</si>
  <si>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</si>
  <si>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</si>
  <si>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</si>
  <si>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</si>
  <si>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</si>
  <si>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</si>
  <si>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</si>
  <si>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</si>
  <si>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</si>
  <si>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</si>
  <si>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</si>
  <si>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</si>
  <si>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</si>
  <si>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</si>
  <si>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</si>
  <si>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</si>
  <si>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</si>
  <si>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</si>
  <si>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</si>
  <si>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</si>
  <si>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</si>
  <si>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</si>
  <si>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</si>
  <si>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</si>
  <si>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</si>
  <si>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</si>
  <si>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</si>
  <si>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</si>
  <si>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</si>
  <si>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</si>
  <si>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</si>
  <si>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</si>
  <si>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</si>
  <si>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</si>
  <si>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</si>
  <si>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</si>
  <si>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</si>
  <si>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</si>
  <si>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</si>
  <si>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</si>
  <si>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</si>
  <si>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</si>
  <si>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</si>
  <si>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</si>
  <si>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</si>
  <si>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</si>
  <si>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</si>
  <si>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</si>
  <si>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</si>
  <si>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</si>
  <si>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</si>
  <si>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</si>
  <si>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</si>
  <si>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</si>
  <si>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</si>
  <si>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</si>
  <si>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</si>
  <si>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</si>
  <si>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</si>
  <si>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</si>
  <si>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</si>
  <si>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</si>
  <si>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</si>
  <si>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</si>
  <si>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</si>
  <si>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</si>
  <si>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</si>
  <si>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</si>
  <si>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</si>
  <si>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</si>
  <si>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</si>
  <si>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</si>
  <si>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</si>
  <si>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</si>
  <si>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</si>
  <si>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</si>
  <si>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</si>
  <si>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</si>
  <si>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</si>
  <si>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</si>
  <si>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</si>
  <si>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</si>
  <si>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</si>
  <si>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</si>
  <si>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</si>
  <si>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</si>
  <si>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</si>
  <si>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</si>
  <si>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</si>
  <si>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</si>
  <si>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</si>
  <si>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</si>
  <si>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</si>
  <si>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</si>
  <si>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</si>
  <si>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</si>
  <si>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</si>
  <si>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</si>
  <si>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</si>
  <si>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</si>
  <si>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</si>
  <si>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</si>
  <si>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</si>
  <si>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</si>
  <si>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</si>
  <si>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</si>
  <si>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</si>
  <si>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</si>
  <si>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</si>
  <si>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</si>
  <si>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</si>
  <si>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</si>
  <si>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</si>
  <si>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</si>
  <si>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</si>
  <si>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</si>
  <si>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</si>
  <si>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</si>
  <si>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</si>
  <si>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</si>
  <si>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</si>
  <si>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</si>
  <si>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</si>
  <si>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</si>
  <si>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</si>
  <si>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</si>
  <si>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</si>
  <si>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</si>
  <si>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</si>
  <si>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</si>
  <si>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</si>
  <si>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</si>
  <si>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</si>
  <si>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</si>
  <si>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</si>
  <si>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</si>
  <si>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</si>
  <si>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</si>
  <si>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</si>
  <si>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</si>
  <si>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</si>
  <si>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</si>
  <si>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</si>
  <si>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</si>
  <si>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</si>
  <si>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</si>
  <si>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</si>
  <si>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</si>
  <si>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</si>
  <si>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</si>
  <si>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</si>
  <si>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</si>
  <si>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</si>
  <si>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</si>
  <si>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</si>
  <si>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</si>
  <si>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</si>
  <si>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</si>
  <si>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</si>
  <si>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</si>
  <si>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</si>
  <si>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</si>
  <si>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</si>
  <si>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</si>
  <si>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</si>
  <si>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</si>
  <si>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</si>
  <si>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</si>
  <si>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</si>
  <si>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</si>
  <si>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</si>
  <si>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</si>
  <si>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</si>
  <si>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</si>
  <si>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</si>
  <si>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</si>
  <si>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</si>
  <si>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</si>
  <si>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</si>
  <si>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</si>
  <si>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</si>
  <si>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</si>
  <si>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</si>
  <si>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</si>
  <si>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</si>
  <si>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</si>
  <si>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</si>
  <si>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</si>
  <si>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</si>
  <si>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</si>
  <si>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</si>
  <si>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</si>
  <si>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</si>
  <si>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</si>
  <si>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</si>
  <si>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</si>
  <si>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</si>
  <si>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</si>
  <si>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</si>
  <si>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</si>
  <si>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</si>
  <si>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</si>
  <si>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</si>
  <si>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</si>
  <si>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</si>
  <si>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</si>
  <si>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</si>
  <si>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</si>
  <si>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</si>
  <si>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</si>
  <si>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</si>
  <si>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</si>
  <si>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</si>
  <si>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</si>
  <si>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</si>
  <si>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</si>
  <si>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</si>
  <si>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</si>
  <si>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</si>
  <si>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</si>
  <si>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</si>
  <si>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</si>
  <si>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</si>
  <si>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</si>
  <si>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</si>
  <si>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</si>
  <si>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</si>
  <si>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</si>
  <si>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</si>
  <si>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</si>
  <si>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</si>
  <si>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</si>
  <si>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</si>
  <si>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</si>
  <si>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</si>
  <si>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</si>
  <si>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</si>
  <si>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</si>
  <si>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</si>
  <si>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</si>
  <si>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</si>
  <si>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</si>
  <si>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</si>
  <si>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</si>
  <si>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</si>
  <si>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</si>
  <si>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</si>
  <si>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</si>
  <si>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</si>
  <si>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</si>
  <si>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</si>
  <si>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</si>
  <si>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</si>
  <si>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</si>
  <si>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</si>
  <si>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</si>
  <si>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</si>
  <si>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</si>
  <si>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</si>
  <si>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</si>
  <si>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</si>
  <si>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</si>
  <si>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</si>
  <si>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</si>
  <si>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</si>
  <si>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</si>
  <si>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</si>
  <si>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</si>
  <si>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</si>
  <si>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</si>
  <si>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</si>
  <si>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</si>
  <si>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</si>
  <si>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</si>
  <si>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</si>
  <si>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</si>
  <si>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</si>
  <si>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</si>
  <si>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</si>
  <si>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</si>
  <si>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</si>
  <si>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</si>
  <si>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</si>
  <si>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</si>
  <si>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</si>
  <si>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</si>
  <si>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</si>
  <si>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</si>
  <si>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</si>
  <si>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</si>
  <si>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</si>
  <si>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</si>
  <si>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</si>
  <si>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</si>
  <si>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</si>
  <si>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</si>
  <si>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</si>
  <si>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</si>
  <si>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</si>
  <si>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</si>
  <si>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</si>
  <si>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</si>
  <si>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</si>
  <si>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</si>
  <si>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</si>
  <si>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</si>
  <si>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</si>
  <si>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</si>
  <si>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</si>
  <si>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</si>
  <si>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</si>
  <si>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</si>
  <si>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</si>
  <si>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</si>
  <si>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</si>
  <si>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</si>
  <si>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</si>
  <si>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</si>
  <si>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</si>
  <si>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</si>
  <si>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</si>
  <si>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</si>
  <si>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</si>
  <si>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</si>
  <si>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</si>
  <si>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</si>
  <si>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</si>
  <si>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</si>
  <si>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</si>
  <si>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</si>
  <si>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</si>
  <si>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</si>
  <si>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</si>
  <si>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</si>
  <si>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</si>
  <si>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</si>
  <si>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</si>
  <si>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</si>
  <si>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</si>
  <si>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</si>
  <si>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</si>
  <si>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</si>
  <si>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</si>
  <si>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</si>
  <si>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</si>
  <si>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</si>
  <si>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</si>
  <si>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</si>
  <si>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</si>
  <si>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</si>
  <si>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</si>
  <si>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</si>
  <si>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</si>
  <si>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</si>
  <si>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</si>
  <si>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</si>
  <si>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</si>
  <si>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</si>
  <si>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</si>
  <si>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</si>
  <si>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</si>
  <si>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</si>
  <si>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</si>
  <si>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</si>
  <si>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</si>
  <si>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</si>
  <si>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</si>
  <si>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</si>
  <si>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</si>
  <si>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</si>
  <si>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</si>
  <si>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</si>
  <si>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</si>
  <si>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</si>
  <si>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</si>
  <si>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</si>
  <si>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</si>
  <si>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</si>
  <si>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</si>
  <si>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</si>
  <si>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</si>
  <si>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</si>
  <si>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</si>
  <si>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</si>
  <si>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</si>
  <si>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</si>
  <si>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</si>
  <si>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</si>
  <si>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</si>
  <si>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</si>
  <si>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</si>
  <si>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</si>
  <si>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</si>
  <si>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</si>
  <si>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</si>
  <si>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</si>
  <si>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</si>
  <si>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</si>
  <si>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</si>
  <si>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</si>
  <si>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</si>
  <si>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</si>
  <si>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</si>
  <si>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</si>
  <si>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</si>
  <si>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</si>
  <si>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</si>
  <si>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</si>
  <si>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</si>
  <si>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</si>
  <si>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</si>
  <si>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</si>
  <si>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</si>
  <si>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</si>
  <si>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</si>
  <si>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</si>
  <si>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</si>
  <si>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</si>
  <si>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</si>
  <si>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</si>
  <si>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</si>
  <si>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</si>
  <si>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</si>
  <si>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</si>
  <si>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</si>
  <si>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</si>
  <si>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</si>
  <si>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</si>
  <si>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</si>
  <si>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</si>
  <si>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</si>
  <si>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</si>
  <si>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</si>
  <si>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</si>
  <si>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</si>
  <si>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</si>
  <si>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</si>
  <si>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</si>
  <si>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</si>
  <si>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</si>
  <si>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</si>
  <si>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</si>
  <si>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</si>
  <si>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</si>
  <si>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</si>
  <si>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</si>
  <si>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</si>
  <si>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</si>
  <si>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</si>
  <si>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</si>
  <si>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</si>
  <si>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</si>
  <si>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</si>
  <si>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</si>
  <si>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</si>
  <si>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</si>
  <si>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</si>
  <si>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</si>
  <si>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</si>
  <si>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</si>
  <si>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</si>
  <si>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</si>
  <si>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</si>
  <si>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</si>
  <si>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</si>
  <si>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</si>
  <si>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</si>
  <si>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</si>
  <si>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</si>
  <si>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</si>
  <si>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</si>
  <si>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</si>
  <si>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</si>
  <si>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</si>
  <si>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</si>
  <si>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</si>
  <si>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</si>
  <si>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</si>
  <si>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</si>
  <si>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</si>
  <si>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</si>
  <si>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</si>
  <si>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</si>
  <si>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</si>
  <si>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</si>
  <si>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</si>
  <si>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</si>
  <si>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</si>
  <si>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</si>
  <si>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</si>
  <si>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</si>
  <si>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</si>
  <si>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</si>
  <si>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</si>
  <si>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</si>
  <si>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</si>
  <si>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</si>
  <si>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</si>
  <si>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</si>
  <si>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</si>
  <si>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</si>
  <si>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</si>
  <si>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</si>
  <si>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</si>
  <si>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</si>
  <si>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</si>
  <si>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</si>
  <si>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</si>
  <si>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</si>
  <si>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</si>
  <si>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</si>
  <si>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</si>
  <si>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</si>
  <si>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</si>
  <si>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</si>
  <si>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</si>
  <si>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</si>
  <si>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</si>
  <si>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</si>
  <si>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</si>
  <si>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</si>
  <si>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</si>
  <si>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</si>
  <si>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</si>
  <si>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</si>
  <si>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</si>
  <si>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</si>
  <si>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</si>
  <si>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</si>
  <si>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</si>
  <si>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</si>
  <si>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</si>
  <si>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</si>
  <si>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</si>
  <si>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</si>
  <si>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</si>
  <si>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</si>
  <si>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</si>
  <si>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</si>
  <si>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</si>
  <si>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</si>
  <si>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</si>
  <si>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</si>
  <si>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</si>
  <si>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</si>
  <si>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</si>
  <si>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</si>
  <si>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</si>
  <si>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</si>
  <si>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</si>
  <si>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</si>
  <si>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</si>
  <si>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</si>
  <si>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</si>
  <si>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</si>
  <si>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</si>
  <si>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</si>
  <si>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</si>
  <si>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</si>
  <si>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</si>
  <si>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</si>
  <si>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</si>
  <si>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</si>
  <si>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</si>
  <si>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</si>
  <si>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</si>
  <si>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</si>
  <si>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</si>
  <si>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</si>
  <si>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</si>
  <si>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</si>
  <si>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</si>
  <si>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</si>
  <si>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</si>
  <si>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</si>
  <si>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</si>
  <si>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</si>
  <si>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</si>
  <si>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</si>
  <si>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</si>
  <si>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</si>
  <si>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</si>
  <si>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</si>
  <si>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</si>
  <si>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</si>
  <si>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</si>
  <si>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</si>
  <si>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</si>
  <si>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</si>
  <si>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</si>
  <si>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</si>
  <si>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</si>
  <si>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</si>
  <si>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</si>
  <si>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</si>
  <si>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</si>
  <si>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</si>
  <si>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</si>
  <si>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</si>
  <si>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</si>
  <si>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</si>
  <si>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</si>
  <si>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</si>
  <si>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</si>
  <si>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</si>
  <si>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</si>
  <si>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</si>
  <si>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</si>
  <si>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</si>
  <si>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</si>
  <si>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</si>
  <si>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</si>
  <si>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</si>
  <si>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</si>
  <si>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</si>
  <si>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</si>
  <si>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</si>
  <si>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</si>
  <si>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</si>
  <si>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</si>
  <si>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</si>
  <si>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</si>
  <si>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</si>
  <si>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</si>
  <si>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</si>
  <si>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</si>
  <si>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</si>
  <si>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</si>
  <si>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</si>
  <si>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</si>
  <si>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</si>
  <si>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</si>
  <si>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</si>
  <si>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</si>
  <si>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</si>
  <si>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</si>
  <si>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</si>
  <si>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</si>
  <si>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</si>
  <si>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</si>
  <si>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</si>
  <si>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</si>
  <si>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</si>
  <si>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</si>
  <si>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</si>
  <si>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</si>
  <si>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</si>
  <si>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</si>
  <si>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</si>
  <si>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</si>
  <si>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</si>
  <si>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</si>
  <si>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</si>
  <si>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</si>
  <si>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</si>
  <si>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</si>
  <si>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</si>
  <si>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</si>
  <si>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</si>
  <si>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</si>
  <si>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</si>
  <si>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</si>
  <si>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</si>
  <si>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</si>
  <si>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</si>
  <si>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</si>
  <si>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</si>
  <si>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</si>
  <si>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</si>
  <si>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</si>
  <si>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</si>
  <si>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</si>
  <si>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</si>
  <si>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</si>
  <si>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</si>
  <si>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</si>
  <si>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</si>
  <si>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</si>
  <si>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</si>
  <si>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</si>
  <si>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</si>
  <si>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</si>
  <si>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</si>
  <si>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</si>
  <si>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</si>
  <si>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</si>
  <si>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</si>
  <si>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</si>
  <si>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</si>
  <si>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</si>
  <si>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</si>
  <si>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</si>
  <si>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</si>
  <si>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</si>
  <si>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</si>
  <si>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</si>
  <si>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</si>
  <si>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</si>
  <si>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</si>
  <si>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</si>
  <si>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</si>
  <si>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</si>
  <si>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</si>
  <si>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</si>
  <si>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</si>
  <si>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</si>
  <si>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</si>
  <si>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</si>
  <si>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</si>
  <si>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</si>
  <si>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</si>
  <si>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</si>
  <si>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</si>
  <si>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</si>
  <si>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</si>
  <si>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</si>
  <si>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</si>
  <si>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</si>
  <si>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CouponCode_Cleaned</t>
  </si>
  <si>
    <t>Row Labels</t>
  </si>
  <si>
    <t>Grand Total</t>
  </si>
  <si>
    <t>Count of OrderID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</si>
  <si>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</si>
  <si>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</si>
  <si>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</si>
  <si>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</si>
  <si>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</si>
  <si>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</si>
  <si>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</si>
  <si>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</si>
  <si>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</si>
  <si>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</si>
  <si>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</si>
  <si>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</si>
  <si>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</si>
  <si>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</si>
  <si>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Unit Price</t>
  </si>
  <si>
    <t>Total Price</t>
  </si>
  <si>
    <t>Sum of TotalPrice</t>
  </si>
  <si>
    <t>Average of TotalPrice</t>
  </si>
  <si>
    <t>2023</t>
  </si>
  <si>
    <t>2024</t>
  </si>
  <si>
    <t>2025</t>
  </si>
  <si>
    <t>Outlier Flag</t>
  </si>
  <si>
    <t>Lower Bound</t>
  </si>
  <si>
    <t>Upper Bound</t>
  </si>
  <si>
    <t>Corr: Quantity vs UnitPrice</t>
  </si>
  <si>
    <t>Corr: UnitPrice vs TotalPrice</t>
  </si>
  <si>
    <t>Corr: Quantity vs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</si>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</sst>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3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4" xfId="0" applyFill="1" applyBorder="1" applyAlignment="1"/>
    <xf numFmtId="0" fontId="2" fillId="0" borderId="5" xfId="0" applyFont="1" applyFill="1" applyBorder="1" applyAlignment="1">
      <alignment horizontal="centerContinuous"/>
    </xf>
    <xf numFmtId="2" fontId="2" fillId="0" borderId="5" xfId="0" applyNumberFormat="1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4" xfId="0" applyNumberFormat="1" applyFill="1" applyBorder="1" applyAlignment="1"/>
    <xf numFmtId="0" fontId="1" fillId="0" borderId="2" xfId="0" applyFont="1" applyFill="1" applyBorder="1" applyAlignment="1">
      <alignment horizontal="center" vertical="top"/>
    </xf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work.xlsx]Orders by Status!PivotTable1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'Orders by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by Status'!$A$4:$A$9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'Orders by Status'!$B$4:$B$9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117688"/>
        <c:axId val="231118072"/>
      </c:barChart>
      <c:catAx>
        <c:axId val="23111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8072"/>
        <c:crosses val="autoZero"/>
        <c:auto val="1"/>
        <c:lblAlgn val="ctr"/>
        <c:lblOffset val="100"/>
        <c:noMultiLvlLbl val="0"/>
      </c:catAx>
      <c:valAx>
        <c:axId val="23111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1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work.xlsx]Revenue by Product!PivotTable3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Product'!$A$4:$A$11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'Revenue by Product'!$B$4:$B$11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655760"/>
        <c:axId val="230656144"/>
      </c:barChart>
      <c:catAx>
        <c:axId val="2306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56144"/>
        <c:crosses val="autoZero"/>
        <c:auto val="1"/>
        <c:lblAlgn val="ctr"/>
        <c:lblOffset val="100"/>
        <c:noMultiLvlLbl val="0"/>
      </c:catAx>
      <c:valAx>
        <c:axId val="2306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5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work.xlsx]Revenue by Referral Source!PivotTable4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Referral Source'!$B$3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Referral Source'!$A$4:$A$9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'Revenue by Referral Source'!$B$4:$B$9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691000"/>
        <c:axId val="230691384"/>
      </c:barChart>
      <c:catAx>
        <c:axId val="23069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91384"/>
        <c:crosses val="autoZero"/>
        <c:auto val="1"/>
        <c:lblAlgn val="ctr"/>
        <c:lblOffset val="100"/>
        <c:noMultiLvlLbl val="0"/>
      </c:catAx>
      <c:valAx>
        <c:axId val="23069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69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work.xlsx]Average Order Value by Payment!PivotTable6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Order Value by Payment'!$B$3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Order Value by Payment'!$A$4:$A$9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'Average Order Value by Payment'!$B$4:$B$9</c:f>
              <c:numCache>
                <c:formatCode>General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065024"/>
        <c:axId val="230807000"/>
      </c:barChart>
      <c:catAx>
        <c:axId val="2310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807000"/>
        <c:crosses val="autoZero"/>
        <c:auto val="1"/>
        <c:lblAlgn val="ctr"/>
        <c:lblOffset val="100"/>
        <c:noMultiLvlLbl val="0"/>
      </c:catAx>
      <c:valAx>
        <c:axId val="23080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work.xlsx]Revenue by Month!PivotTable7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'Revenue by Month'!$A$4:$A$37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'Revenue by Month'!$B$4:$B$37</c:f>
              <c:numCache>
                <c:formatCode>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750736"/>
        <c:axId val="230752304"/>
      </c:lineChart>
      <c:catAx>
        <c:axId val="23075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52304"/>
        <c:crosses val="autoZero"/>
        <c:auto val="1"/>
        <c:lblAlgn val="ctr"/>
        <c:lblOffset val="100"/>
        <c:noMultiLvlLbl val="0"/>
      </c:catAx>
      <c:valAx>
        <c:axId val="2307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75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4</xdr:row>
      <xdr:rowOff>66675</xdr:rowOff>
    </xdr:from>
    <xdr:to>
      <xdr:col>13</xdr:col>
      <xdr:colOff>358775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2</xdr:row>
      <xdr:rowOff>158750</xdr:rowOff>
    </xdr:from>
    <xdr:to>
      <xdr:col>13</xdr:col>
      <xdr:colOff>358775</xdr:colOff>
      <xdr:row>17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2</xdr:row>
      <xdr:rowOff>158750</xdr:rowOff>
    </xdr:from>
    <xdr:to>
      <xdr:col>13</xdr:col>
      <xdr:colOff>358775</xdr:colOff>
      <xdr:row>17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2</xdr:row>
      <xdr:rowOff>158750</xdr:rowOff>
    </xdr:from>
    <xdr:to>
      <xdr:col>13</xdr:col>
      <xdr:colOff>358775</xdr:colOff>
      <xdr:row>17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2</xdr:row>
      <xdr:rowOff>158750</xdr:rowOff>
    </xdr:from>
    <xdr:to>
      <xdr:col>13</xdr:col>
      <xdr:colOff>358775</xdr:colOff>
      <xdr:row>17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 by Status"/>
      <sheetName val="Revenue by Product"/>
      <sheetName val="Revenue by Referral Source"/>
      <sheetName val="Average Order Value by Payment"/>
      <sheetName val="Revenue by Month"/>
      <sheetName val="Cleaned Data set"/>
      <sheetName val="EDA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E2">
            <v>5</v>
          </cell>
          <cell r="F2">
            <v>570.62</v>
          </cell>
          <cell r="N2">
            <v>2853.1</v>
          </cell>
        </row>
        <row r="3">
          <cell r="E3">
            <v>2</v>
          </cell>
          <cell r="F3">
            <v>151.35</v>
          </cell>
          <cell r="N3">
            <v>302.7</v>
          </cell>
        </row>
        <row r="4">
          <cell r="E4">
            <v>5</v>
          </cell>
          <cell r="F4">
            <v>550.67999999999995</v>
          </cell>
          <cell r="N4">
            <v>2753.4</v>
          </cell>
        </row>
        <row r="5">
          <cell r="E5">
            <v>1</v>
          </cell>
          <cell r="F5">
            <v>273.19</v>
          </cell>
          <cell r="N5">
            <v>273.19</v>
          </cell>
        </row>
        <row r="6">
          <cell r="E6">
            <v>4</v>
          </cell>
          <cell r="F6">
            <v>626.01</v>
          </cell>
          <cell r="N6">
            <v>2504.04</v>
          </cell>
        </row>
        <row r="7">
          <cell r="E7">
            <v>2</v>
          </cell>
          <cell r="F7">
            <v>245.86</v>
          </cell>
          <cell r="N7">
            <v>491.72</v>
          </cell>
        </row>
        <row r="8">
          <cell r="E8">
            <v>1</v>
          </cell>
          <cell r="F8">
            <v>664.42</v>
          </cell>
          <cell r="N8">
            <v>664.42</v>
          </cell>
        </row>
        <row r="9">
          <cell r="E9">
            <v>5</v>
          </cell>
          <cell r="F9">
            <v>149.55000000000001</v>
          </cell>
          <cell r="N9">
            <v>747.75</v>
          </cell>
        </row>
        <row r="10">
          <cell r="E10">
            <v>2</v>
          </cell>
          <cell r="F10">
            <v>134.28</v>
          </cell>
          <cell r="N10">
            <v>268.56</v>
          </cell>
        </row>
        <row r="11">
          <cell r="E11">
            <v>4</v>
          </cell>
          <cell r="F11">
            <v>509.38</v>
          </cell>
          <cell r="N11">
            <v>2037.52</v>
          </cell>
        </row>
        <row r="12">
          <cell r="E12">
            <v>5</v>
          </cell>
          <cell r="F12">
            <v>625.97</v>
          </cell>
          <cell r="N12">
            <v>3129.85</v>
          </cell>
        </row>
        <row r="13">
          <cell r="E13">
            <v>3</v>
          </cell>
          <cell r="F13">
            <v>49.14</v>
          </cell>
          <cell r="N13">
            <v>147.41999999999999</v>
          </cell>
        </row>
        <row r="14">
          <cell r="E14">
            <v>2</v>
          </cell>
          <cell r="F14">
            <v>180.5</v>
          </cell>
          <cell r="N14">
            <v>361</v>
          </cell>
        </row>
        <row r="15">
          <cell r="E15">
            <v>3</v>
          </cell>
          <cell r="F15">
            <v>201.49</v>
          </cell>
          <cell r="N15">
            <v>604.47</v>
          </cell>
        </row>
        <row r="16">
          <cell r="E16">
            <v>2</v>
          </cell>
          <cell r="F16">
            <v>393.33</v>
          </cell>
          <cell r="N16">
            <v>786.66</v>
          </cell>
        </row>
        <row r="17">
          <cell r="E17">
            <v>1</v>
          </cell>
          <cell r="F17">
            <v>473.96</v>
          </cell>
          <cell r="N17">
            <v>473.96</v>
          </cell>
        </row>
        <row r="18">
          <cell r="E18">
            <v>2</v>
          </cell>
          <cell r="F18">
            <v>533.80999999999995</v>
          </cell>
          <cell r="N18">
            <v>1067.6199999999999</v>
          </cell>
        </row>
        <row r="19">
          <cell r="E19">
            <v>1</v>
          </cell>
          <cell r="F19">
            <v>423.4</v>
          </cell>
          <cell r="N19">
            <v>423.4</v>
          </cell>
        </row>
        <row r="20">
          <cell r="E20">
            <v>1</v>
          </cell>
          <cell r="F20">
            <v>431.44</v>
          </cell>
          <cell r="N20">
            <v>431.44</v>
          </cell>
        </row>
        <row r="21">
          <cell r="E21">
            <v>5</v>
          </cell>
          <cell r="F21">
            <v>224</v>
          </cell>
          <cell r="N21">
            <v>1120</v>
          </cell>
        </row>
        <row r="22">
          <cell r="E22">
            <v>5</v>
          </cell>
          <cell r="F22">
            <v>62.51</v>
          </cell>
          <cell r="N22">
            <v>312.55</v>
          </cell>
        </row>
        <row r="23">
          <cell r="E23">
            <v>4</v>
          </cell>
          <cell r="F23">
            <v>342.95</v>
          </cell>
          <cell r="N23">
            <v>1371.8</v>
          </cell>
        </row>
        <row r="24">
          <cell r="E24">
            <v>2</v>
          </cell>
          <cell r="F24">
            <v>49.62</v>
          </cell>
          <cell r="N24">
            <v>99.24</v>
          </cell>
        </row>
        <row r="25">
          <cell r="E25">
            <v>4</v>
          </cell>
          <cell r="F25">
            <v>273.25</v>
          </cell>
          <cell r="N25">
            <v>1093</v>
          </cell>
        </row>
        <row r="26">
          <cell r="E26">
            <v>2</v>
          </cell>
          <cell r="F26">
            <v>230.95</v>
          </cell>
          <cell r="N26">
            <v>461.9</v>
          </cell>
        </row>
        <row r="27">
          <cell r="E27">
            <v>1</v>
          </cell>
          <cell r="F27">
            <v>399.98</v>
          </cell>
          <cell r="N27">
            <v>399.98</v>
          </cell>
        </row>
        <row r="28">
          <cell r="E28">
            <v>5</v>
          </cell>
          <cell r="F28">
            <v>59.55</v>
          </cell>
          <cell r="N28">
            <v>297.75</v>
          </cell>
        </row>
        <row r="29">
          <cell r="E29">
            <v>1</v>
          </cell>
          <cell r="F29">
            <v>472.74</v>
          </cell>
          <cell r="N29">
            <v>472.74</v>
          </cell>
        </row>
        <row r="30">
          <cell r="E30">
            <v>4</v>
          </cell>
          <cell r="F30">
            <v>160.07</v>
          </cell>
          <cell r="N30">
            <v>640.28</v>
          </cell>
        </row>
        <row r="31">
          <cell r="E31">
            <v>3</v>
          </cell>
          <cell r="F31">
            <v>423.53</v>
          </cell>
          <cell r="N31">
            <v>1270.5899999999999</v>
          </cell>
        </row>
        <row r="32">
          <cell r="E32">
            <v>2</v>
          </cell>
          <cell r="F32">
            <v>426.7</v>
          </cell>
          <cell r="N32">
            <v>853.4</v>
          </cell>
        </row>
        <row r="33">
          <cell r="E33">
            <v>3</v>
          </cell>
          <cell r="F33">
            <v>500.08</v>
          </cell>
          <cell r="N33">
            <v>1500.24</v>
          </cell>
        </row>
        <row r="34">
          <cell r="E34">
            <v>5</v>
          </cell>
          <cell r="F34">
            <v>536.72</v>
          </cell>
          <cell r="N34">
            <v>2683.6</v>
          </cell>
        </row>
        <row r="35">
          <cell r="E35">
            <v>1</v>
          </cell>
          <cell r="F35">
            <v>162.77000000000001</v>
          </cell>
          <cell r="N35">
            <v>162.77000000000001</v>
          </cell>
        </row>
        <row r="36">
          <cell r="E36">
            <v>4</v>
          </cell>
          <cell r="F36">
            <v>576.52</v>
          </cell>
          <cell r="N36">
            <v>2306.08</v>
          </cell>
        </row>
        <row r="37">
          <cell r="E37">
            <v>2</v>
          </cell>
          <cell r="F37">
            <v>465.15</v>
          </cell>
          <cell r="N37">
            <v>930.3</v>
          </cell>
        </row>
        <row r="38">
          <cell r="E38">
            <v>2</v>
          </cell>
          <cell r="F38">
            <v>534.42999999999995</v>
          </cell>
          <cell r="N38">
            <v>1068.8599999999999</v>
          </cell>
        </row>
        <row r="39">
          <cell r="E39">
            <v>2</v>
          </cell>
          <cell r="F39">
            <v>76.739999999999995</v>
          </cell>
          <cell r="N39">
            <v>153.47999999999999</v>
          </cell>
        </row>
        <row r="40">
          <cell r="E40">
            <v>1</v>
          </cell>
          <cell r="F40">
            <v>245.89</v>
          </cell>
          <cell r="N40">
            <v>245.89</v>
          </cell>
        </row>
        <row r="41">
          <cell r="E41">
            <v>3</v>
          </cell>
          <cell r="F41">
            <v>256.45999999999998</v>
          </cell>
          <cell r="N41">
            <v>769.37999999999988</v>
          </cell>
        </row>
        <row r="42">
          <cell r="E42">
            <v>2</v>
          </cell>
          <cell r="F42">
            <v>344.02</v>
          </cell>
          <cell r="N42">
            <v>688.04</v>
          </cell>
        </row>
        <row r="43">
          <cell r="E43">
            <v>3</v>
          </cell>
          <cell r="F43">
            <v>611.45000000000005</v>
          </cell>
          <cell r="N43">
            <v>1834.35</v>
          </cell>
        </row>
        <row r="44">
          <cell r="E44">
            <v>2</v>
          </cell>
          <cell r="F44">
            <v>151.66</v>
          </cell>
          <cell r="N44">
            <v>303.32</v>
          </cell>
        </row>
        <row r="45">
          <cell r="E45">
            <v>3</v>
          </cell>
          <cell r="F45">
            <v>499.21</v>
          </cell>
          <cell r="N45">
            <v>1497.63</v>
          </cell>
        </row>
        <row r="46">
          <cell r="E46">
            <v>2</v>
          </cell>
          <cell r="F46">
            <v>550.17999999999995</v>
          </cell>
          <cell r="N46">
            <v>1100.3599999999999</v>
          </cell>
        </row>
        <row r="47">
          <cell r="E47">
            <v>1</v>
          </cell>
          <cell r="F47">
            <v>317.25</v>
          </cell>
          <cell r="N47">
            <v>317.25</v>
          </cell>
        </row>
        <row r="48">
          <cell r="E48">
            <v>4</v>
          </cell>
          <cell r="F48">
            <v>550.14</v>
          </cell>
          <cell r="N48">
            <v>2200.56</v>
          </cell>
        </row>
        <row r="49">
          <cell r="E49">
            <v>2</v>
          </cell>
          <cell r="F49">
            <v>209.94</v>
          </cell>
          <cell r="N49">
            <v>419.88</v>
          </cell>
        </row>
        <row r="50">
          <cell r="E50">
            <v>2</v>
          </cell>
          <cell r="F50">
            <v>80.77</v>
          </cell>
          <cell r="N50">
            <v>161.54</v>
          </cell>
        </row>
        <row r="51">
          <cell r="E51">
            <v>1</v>
          </cell>
          <cell r="F51">
            <v>30.44</v>
          </cell>
          <cell r="N51">
            <v>30.44</v>
          </cell>
        </row>
        <row r="52">
          <cell r="E52">
            <v>1</v>
          </cell>
          <cell r="F52">
            <v>179.22</v>
          </cell>
          <cell r="N52">
            <v>179.22</v>
          </cell>
        </row>
        <row r="53">
          <cell r="E53">
            <v>1</v>
          </cell>
          <cell r="F53">
            <v>388.33</v>
          </cell>
          <cell r="N53">
            <v>388.33</v>
          </cell>
        </row>
        <row r="54">
          <cell r="E54">
            <v>1</v>
          </cell>
          <cell r="F54">
            <v>586.44000000000005</v>
          </cell>
          <cell r="N54">
            <v>586.44000000000005</v>
          </cell>
        </row>
        <row r="55">
          <cell r="E55">
            <v>4</v>
          </cell>
          <cell r="F55">
            <v>488.78</v>
          </cell>
          <cell r="N55">
            <v>1955.12</v>
          </cell>
        </row>
        <row r="56">
          <cell r="E56">
            <v>1</v>
          </cell>
          <cell r="F56">
            <v>280.25</v>
          </cell>
          <cell r="N56">
            <v>280.25</v>
          </cell>
        </row>
        <row r="57">
          <cell r="E57">
            <v>3</v>
          </cell>
          <cell r="F57">
            <v>344.4</v>
          </cell>
          <cell r="N57">
            <v>1033.2</v>
          </cell>
        </row>
        <row r="58">
          <cell r="E58">
            <v>3</v>
          </cell>
          <cell r="F58">
            <v>479.21</v>
          </cell>
          <cell r="N58">
            <v>1437.63</v>
          </cell>
        </row>
        <row r="59">
          <cell r="E59">
            <v>5</v>
          </cell>
          <cell r="F59">
            <v>314.27</v>
          </cell>
          <cell r="N59">
            <v>1571.35</v>
          </cell>
        </row>
        <row r="60">
          <cell r="E60">
            <v>4</v>
          </cell>
          <cell r="F60">
            <v>474.69</v>
          </cell>
          <cell r="N60">
            <v>1898.76</v>
          </cell>
        </row>
        <row r="61">
          <cell r="E61">
            <v>4</v>
          </cell>
          <cell r="F61">
            <v>593.27</v>
          </cell>
          <cell r="N61">
            <v>2373.08</v>
          </cell>
        </row>
        <row r="62">
          <cell r="E62">
            <v>1</v>
          </cell>
          <cell r="F62">
            <v>417.1</v>
          </cell>
          <cell r="N62">
            <v>417.1</v>
          </cell>
        </row>
        <row r="63">
          <cell r="E63">
            <v>4</v>
          </cell>
          <cell r="F63">
            <v>122.2</v>
          </cell>
          <cell r="N63">
            <v>488.8</v>
          </cell>
        </row>
        <row r="64">
          <cell r="E64">
            <v>2</v>
          </cell>
          <cell r="F64">
            <v>43.15</v>
          </cell>
          <cell r="N64">
            <v>86.3</v>
          </cell>
        </row>
        <row r="65">
          <cell r="E65">
            <v>1</v>
          </cell>
          <cell r="F65">
            <v>564.86</v>
          </cell>
          <cell r="N65">
            <v>564.86</v>
          </cell>
        </row>
        <row r="66">
          <cell r="E66">
            <v>3</v>
          </cell>
          <cell r="F66">
            <v>130.61000000000001</v>
          </cell>
          <cell r="N66">
            <v>391.83</v>
          </cell>
        </row>
        <row r="67">
          <cell r="E67">
            <v>5</v>
          </cell>
          <cell r="F67">
            <v>81.7</v>
          </cell>
          <cell r="N67">
            <v>408.5</v>
          </cell>
        </row>
        <row r="68">
          <cell r="E68">
            <v>5</v>
          </cell>
          <cell r="F68">
            <v>127.18</v>
          </cell>
          <cell r="N68">
            <v>635.90000000000009</v>
          </cell>
        </row>
        <row r="69">
          <cell r="E69">
            <v>4</v>
          </cell>
          <cell r="F69">
            <v>12.1</v>
          </cell>
          <cell r="N69">
            <v>48.4</v>
          </cell>
        </row>
        <row r="70">
          <cell r="E70">
            <v>3</v>
          </cell>
          <cell r="F70">
            <v>490.92</v>
          </cell>
          <cell r="N70">
            <v>1472.76</v>
          </cell>
        </row>
        <row r="71">
          <cell r="E71">
            <v>3</v>
          </cell>
          <cell r="F71">
            <v>478.65</v>
          </cell>
          <cell r="N71">
            <v>1435.95</v>
          </cell>
        </row>
        <row r="72">
          <cell r="E72">
            <v>1</v>
          </cell>
          <cell r="F72">
            <v>629.21</v>
          </cell>
          <cell r="N72">
            <v>629.21</v>
          </cell>
        </row>
        <row r="73">
          <cell r="E73">
            <v>3</v>
          </cell>
          <cell r="F73">
            <v>434.45</v>
          </cell>
          <cell r="N73">
            <v>1303.3499999999999</v>
          </cell>
        </row>
        <row r="74">
          <cell r="E74">
            <v>4</v>
          </cell>
          <cell r="F74">
            <v>589.44000000000005</v>
          </cell>
          <cell r="N74">
            <v>2357.7600000000002</v>
          </cell>
        </row>
        <row r="75">
          <cell r="E75">
            <v>4</v>
          </cell>
          <cell r="F75">
            <v>433.45</v>
          </cell>
          <cell r="N75">
            <v>1733.8</v>
          </cell>
        </row>
        <row r="76">
          <cell r="E76">
            <v>5</v>
          </cell>
          <cell r="F76">
            <v>90.87</v>
          </cell>
          <cell r="N76">
            <v>454.35</v>
          </cell>
        </row>
        <row r="77">
          <cell r="E77">
            <v>3</v>
          </cell>
          <cell r="F77">
            <v>398.17</v>
          </cell>
          <cell r="N77">
            <v>1194.51</v>
          </cell>
        </row>
        <row r="78">
          <cell r="E78">
            <v>4</v>
          </cell>
          <cell r="F78">
            <v>382.88</v>
          </cell>
          <cell r="N78">
            <v>1531.52</v>
          </cell>
        </row>
        <row r="79">
          <cell r="E79">
            <v>1</v>
          </cell>
          <cell r="F79">
            <v>583.17999999999995</v>
          </cell>
          <cell r="N79">
            <v>583.17999999999995</v>
          </cell>
        </row>
        <row r="80">
          <cell r="E80">
            <v>4</v>
          </cell>
          <cell r="F80">
            <v>175.36</v>
          </cell>
          <cell r="N80">
            <v>701.44</v>
          </cell>
        </row>
        <row r="81">
          <cell r="E81">
            <v>2</v>
          </cell>
          <cell r="F81">
            <v>311.91000000000003</v>
          </cell>
          <cell r="N81">
            <v>623.82000000000005</v>
          </cell>
        </row>
        <row r="82">
          <cell r="E82">
            <v>3</v>
          </cell>
          <cell r="F82">
            <v>589.55999999999995</v>
          </cell>
          <cell r="N82">
            <v>1768.68</v>
          </cell>
        </row>
        <row r="83">
          <cell r="E83">
            <v>2</v>
          </cell>
          <cell r="F83">
            <v>394.3</v>
          </cell>
          <cell r="N83">
            <v>788.6</v>
          </cell>
        </row>
        <row r="84">
          <cell r="E84">
            <v>4</v>
          </cell>
          <cell r="F84">
            <v>565.20000000000005</v>
          </cell>
          <cell r="N84">
            <v>2260.8000000000002</v>
          </cell>
        </row>
        <row r="85">
          <cell r="E85">
            <v>4</v>
          </cell>
          <cell r="F85">
            <v>540.41</v>
          </cell>
          <cell r="N85">
            <v>2161.64</v>
          </cell>
        </row>
        <row r="86">
          <cell r="E86">
            <v>2</v>
          </cell>
          <cell r="F86">
            <v>165.49</v>
          </cell>
          <cell r="N86">
            <v>330.98</v>
          </cell>
        </row>
        <row r="87">
          <cell r="E87">
            <v>3</v>
          </cell>
          <cell r="F87">
            <v>146.72999999999999</v>
          </cell>
          <cell r="N87">
            <v>440.18999999999988</v>
          </cell>
        </row>
        <row r="88">
          <cell r="E88">
            <v>5</v>
          </cell>
          <cell r="F88">
            <v>643.03</v>
          </cell>
          <cell r="N88">
            <v>3215.15</v>
          </cell>
        </row>
        <row r="89">
          <cell r="E89">
            <v>3</v>
          </cell>
          <cell r="F89">
            <v>225.11</v>
          </cell>
          <cell r="N89">
            <v>675.33</v>
          </cell>
        </row>
        <row r="90">
          <cell r="E90">
            <v>3</v>
          </cell>
          <cell r="F90">
            <v>114.81</v>
          </cell>
          <cell r="N90">
            <v>344.43</v>
          </cell>
        </row>
        <row r="91">
          <cell r="E91">
            <v>5</v>
          </cell>
          <cell r="F91">
            <v>455.33</v>
          </cell>
          <cell r="N91">
            <v>2276.65</v>
          </cell>
        </row>
        <row r="92">
          <cell r="E92">
            <v>4</v>
          </cell>
          <cell r="F92">
            <v>182.08</v>
          </cell>
          <cell r="N92">
            <v>728.32</v>
          </cell>
        </row>
        <row r="93">
          <cell r="E93">
            <v>5</v>
          </cell>
          <cell r="F93">
            <v>492.75</v>
          </cell>
          <cell r="N93">
            <v>2463.75</v>
          </cell>
        </row>
        <row r="94">
          <cell r="E94">
            <v>4</v>
          </cell>
          <cell r="F94">
            <v>48.61</v>
          </cell>
          <cell r="N94">
            <v>194.44</v>
          </cell>
        </row>
        <row r="95">
          <cell r="E95">
            <v>4</v>
          </cell>
          <cell r="F95">
            <v>431.01</v>
          </cell>
          <cell r="N95">
            <v>1724.04</v>
          </cell>
        </row>
        <row r="96">
          <cell r="E96">
            <v>1</v>
          </cell>
          <cell r="F96">
            <v>531.17999999999995</v>
          </cell>
          <cell r="N96">
            <v>531.17999999999995</v>
          </cell>
        </row>
        <row r="97">
          <cell r="E97">
            <v>4</v>
          </cell>
          <cell r="F97">
            <v>117.51</v>
          </cell>
          <cell r="N97">
            <v>470.04</v>
          </cell>
        </row>
        <row r="98">
          <cell r="E98">
            <v>2</v>
          </cell>
          <cell r="F98">
            <v>232.83</v>
          </cell>
          <cell r="N98">
            <v>465.66</v>
          </cell>
        </row>
        <row r="99">
          <cell r="E99">
            <v>5</v>
          </cell>
          <cell r="F99">
            <v>619.52</v>
          </cell>
          <cell r="N99">
            <v>3097.6</v>
          </cell>
        </row>
        <row r="100">
          <cell r="E100">
            <v>2</v>
          </cell>
          <cell r="F100">
            <v>228.54</v>
          </cell>
          <cell r="N100">
            <v>457.08</v>
          </cell>
        </row>
        <row r="101">
          <cell r="E101">
            <v>1</v>
          </cell>
          <cell r="F101">
            <v>201.58</v>
          </cell>
          <cell r="N101">
            <v>201.58</v>
          </cell>
        </row>
        <row r="102">
          <cell r="E102">
            <v>3</v>
          </cell>
          <cell r="F102">
            <v>664.79</v>
          </cell>
          <cell r="N102">
            <v>1994.37</v>
          </cell>
        </row>
        <row r="103">
          <cell r="E103">
            <v>1</v>
          </cell>
          <cell r="F103">
            <v>381.02</v>
          </cell>
          <cell r="N103">
            <v>381.02</v>
          </cell>
        </row>
        <row r="104">
          <cell r="E104">
            <v>2</v>
          </cell>
          <cell r="F104">
            <v>70.34</v>
          </cell>
          <cell r="N104">
            <v>140.68</v>
          </cell>
        </row>
        <row r="105">
          <cell r="E105">
            <v>4</v>
          </cell>
          <cell r="F105">
            <v>218.43</v>
          </cell>
          <cell r="N105">
            <v>873.72</v>
          </cell>
        </row>
        <row r="106">
          <cell r="E106">
            <v>1</v>
          </cell>
          <cell r="F106">
            <v>582.04</v>
          </cell>
          <cell r="N106">
            <v>582.04</v>
          </cell>
        </row>
        <row r="107">
          <cell r="E107">
            <v>3</v>
          </cell>
          <cell r="F107">
            <v>185.4</v>
          </cell>
          <cell r="N107">
            <v>556.20000000000005</v>
          </cell>
        </row>
        <row r="108">
          <cell r="E108">
            <v>3</v>
          </cell>
          <cell r="F108">
            <v>465.05</v>
          </cell>
          <cell r="N108">
            <v>1395.15</v>
          </cell>
        </row>
        <row r="109">
          <cell r="E109">
            <v>5</v>
          </cell>
          <cell r="F109">
            <v>670.75</v>
          </cell>
          <cell r="N109">
            <v>3353.75</v>
          </cell>
        </row>
        <row r="110">
          <cell r="E110">
            <v>5</v>
          </cell>
          <cell r="F110">
            <v>48.38</v>
          </cell>
          <cell r="N110">
            <v>241.9</v>
          </cell>
        </row>
        <row r="111">
          <cell r="E111">
            <v>3</v>
          </cell>
          <cell r="F111">
            <v>592.87</v>
          </cell>
          <cell r="N111">
            <v>1778.61</v>
          </cell>
        </row>
        <row r="112">
          <cell r="E112">
            <v>1</v>
          </cell>
          <cell r="F112">
            <v>220.77</v>
          </cell>
          <cell r="N112">
            <v>220.77</v>
          </cell>
        </row>
        <row r="113">
          <cell r="E113">
            <v>3</v>
          </cell>
          <cell r="F113">
            <v>309.22000000000003</v>
          </cell>
          <cell r="N113">
            <v>927.66000000000008</v>
          </cell>
        </row>
        <row r="114">
          <cell r="E114">
            <v>1</v>
          </cell>
          <cell r="F114">
            <v>410.6</v>
          </cell>
          <cell r="N114">
            <v>410.6</v>
          </cell>
        </row>
        <row r="115">
          <cell r="E115">
            <v>5</v>
          </cell>
          <cell r="F115">
            <v>190.08</v>
          </cell>
          <cell r="N115">
            <v>950.40000000000009</v>
          </cell>
        </row>
        <row r="116">
          <cell r="E116">
            <v>5</v>
          </cell>
          <cell r="F116">
            <v>498.48</v>
          </cell>
          <cell r="N116">
            <v>2492.4</v>
          </cell>
        </row>
        <row r="117">
          <cell r="E117">
            <v>5</v>
          </cell>
          <cell r="F117">
            <v>374.99</v>
          </cell>
          <cell r="N117">
            <v>1874.95</v>
          </cell>
        </row>
        <row r="118">
          <cell r="E118">
            <v>4</v>
          </cell>
          <cell r="F118">
            <v>291.35000000000002</v>
          </cell>
          <cell r="N118">
            <v>1165.4000000000001</v>
          </cell>
        </row>
        <row r="119">
          <cell r="E119">
            <v>1</v>
          </cell>
          <cell r="F119">
            <v>535.5</v>
          </cell>
          <cell r="N119">
            <v>535.5</v>
          </cell>
        </row>
        <row r="120">
          <cell r="E120">
            <v>5</v>
          </cell>
          <cell r="F120">
            <v>502.71</v>
          </cell>
          <cell r="N120">
            <v>2513.5500000000002</v>
          </cell>
        </row>
        <row r="121">
          <cell r="E121">
            <v>2</v>
          </cell>
          <cell r="F121">
            <v>534.66999999999996</v>
          </cell>
          <cell r="N121">
            <v>1069.3399999999999</v>
          </cell>
        </row>
        <row r="122">
          <cell r="E122">
            <v>4</v>
          </cell>
          <cell r="F122">
            <v>629.34</v>
          </cell>
          <cell r="N122">
            <v>2517.36</v>
          </cell>
        </row>
        <row r="123">
          <cell r="E123">
            <v>1</v>
          </cell>
          <cell r="F123">
            <v>410.78</v>
          </cell>
          <cell r="N123">
            <v>410.78</v>
          </cell>
        </row>
        <row r="124">
          <cell r="E124">
            <v>2</v>
          </cell>
          <cell r="F124">
            <v>533.02</v>
          </cell>
          <cell r="N124">
            <v>1066.04</v>
          </cell>
        </row>
        <row r="125">
          <cell r="E125">
            <v>3</v>
          </cell>
          <cell r="F125">
            <v>278.04000000000002</v>
          </cell>
          <cell r="N125">
            <v>834.12000000000012</v>
          </cell>
        </row>
        <row r="126">
          <cell r="E126">
            <v>4</v>
          </cell>
          <cell r="F126">
            <v>283.79000000000002</v>
          </cell>
          <cell r="N126">
            <v>1135.1600000000001</v>
          </cell>
        </row>
        <row r="127">
          <cell r="E127">
            <v>2</v>
          </cell>
          <cell r="F127">
            <v>512.65</v>
          </cell>
          <cell r="N127">
            <v>1025.3</v>
          </cell>
        </row>
        <row r="128">
          <cell r="E128">
            <v>4</v>
          </cell>
          <cell r="F128">
            <v>275.5</v>
          </cell>
          <cell r="N128">
            <v>1102</v>
          </cell>
        </row>
        <row r="129">
          <cell r="E129">
            <v>3</v>
          </cell>
          <cell r="F129">
            <v>469.32</v>
          </cell>
          <cell r="N129">
            <v>1407.96</v>
          </cell>
        </row>
        <row r="130">
          <cell r="E130">
            <v>4</v>
          </cell>
          <cell r="F130">
            <v>21.07</v>
          </cell>
          <cell r="N130">
            <v>84.28</v>
          </cell>
        </row>
        <row r="131">
          <cell r="E131">
            <v>4</v>
          </cell>
          <cell r="F131">
            <v>263.93</v>
          </cell>
          <cell r="N131">
            <v>1055.72</v>
          </cell>
        </row>
        <row r="132">
          <cell r="E132">
            <v>3</v>
          </cell>
          <cell r="F132">
            <v>501.3</v>
          </cell>
          <cell r="N132">
            <v>1503.9</v>
          </cell>
        </row>
        <row r="133">
          <cell r="E133">
            <v>1</v>
          </cell>
          <cell r="F133">
            <v>84.8</v>
          </cell>
          <cell r="N133">
            <v>84.8</v>
          </cell>
        </row>
        <row r="134">
          <cell r="E134">
            <v>4</v>
          </cell>
          <cell r="F134">
            <v>450.75</v>
          </cell>
          <cell r="N134">
            <v>1803</v>
          </cell>
        </row>
        <row r="135">
          <cell r="E135">
            <v>4</v>
          </cell>
          <cell r="F135">
            <v>302.05</v>
          </cell>
          <cell r="N135">
            <v>1208.2</v>
          </cell>
        </row>
        <row r="136">
          <cell r="E136">
            <v>2</v>
          </cell>
          <cell r="F136">
            <v>199.7</v>
          </cell>
          <cell r="N136">
            <v>399.4</v>
          </cell>
        </row>
        <row r="137">
          <cell r="E137">
            <v>2</v>
          </cell>
          <cell r="F137">
            <v>68.81</v>
          </cell>
          <cell r="N137">
            <v>137.62</v>
          </cell>
        </row>
        <row r="138">
          <cell r="E138">
            <v>1</v>
          </cell>
          <cell r="F138">
            <v>44.35</v>
          </cell>
          <cell r="N138">
            <v>44.35</v>
          </cell>
        </row>
        <row r="139">
          <cell r="E139">
            <v>2</v>
          </cell>
          <cell r="F139">
            <v>250.98</v>
          </cell>
          <cell r="N139">
            <v>501.96</v>
          </cell>
        </row>
        <row r="140">
          <cell r="E140">
            <v>1</v>
          </cell>
          <cell r="F140">
            <v>298.06</v>
          </cell>
          <cell r="N140">
            <v>298.06</v>
          </cell>
        </row>
        <row r="141">
          <cell r="E141">
            <v>1</v>
          </cell>
          <cell r="F141">
            <v>583.9</v>
          </cell>
          <cell r="N141">
            <v>583.9</v>
          </cell>
        </row>
        <row r="142">
          <cell r="E142">
            <v>3</v>
          </cell>
          <cell r="F142">
            <v>528.14</v>
          </cell>
          <cell r="N142">
            <v>1584.42</v>
          </cell>
        </row>
        <row r="143">
          <cell r="E143">
            <v>3</v>
          </cell>
          <cell r="F143">
            <v>684.14</v>
          </cell>
          <cell r="N143">
            <v>2052.42</v>
          </cell>
        </row>
        <row r="144">
          <cell r="E144">
            <v>5</v>
          </cell>
          <cell r="F144">
            <v>272.77</v>
          </cell>
          <cell r="N144">
            <v>1363.85</v>
          </cell>
        </row>
        <row r="145">
          <cell r="E145">
            <v>4</v>
          </cell>
          <cell r="F145">
            <v>400.07</v>
          </cell>
          <cell r="N145">
            <v>1600.28</v>
          </cell>
        </row>
        <row r="146">
          <cell r="E146">
            <v>5</v>
          </cell>
          <cell r="F146">
            <v>219.78</v>
          </cell>
          <cell r="N146">
            <v>1098.9000000000001</v>
          </cell>
        </row>
        <row r="147">
          <cell r="E147">
            <v>3</v>
          </cell>
          <cell r="F147">
            <v>146.91</v>
          </cell>
          <cell r="N147">
            <v>440.73</v>
          </cell>
        </row>
        <row r="148">
          <cell r="E148">
            <v>2</v>
          </cell>
          <cell r="F148">
            <v>411.49</v>
          </cell>
          <cell r="N148">
            <v>822.98</v>
          </cell>
        </row>
        <row r="149">
          <cell r="E149">
            <v>2</v>
          </cell>
          <cell r="F149">
            <v>465.18</v>
          </cell>
          <cell r="N149">
            <v>930.36</v>
          </cell>
        </row>
        <row r="150">
          <cell r="E150">
            <v>2</v>
          </cell>
          <cell r="F150">
            <v>319.91000000000003</v>
          </cell>
          <cell r="N150">
            <v>639.82000000000005</v>
          </cell>
        </row>
        <row r="151">
          <cell r="E151">
            <v>1</v>
          </cell>
          <cell r="F151">
            <v>217.56</v>
          </cell>
          <cell r="N151">
            <v>217.56</v>
          </cell>
        </row>
        <row r="152">
          <cell r="E152">
            <v>2</v>
          </cell>
          <cell r="F152">
            <v>105.57</v>
          </cell>
          <cell r="N152">
            <v>211.14</v>
          </cell>
        </row>
        <row r="153">
          <cell r="E153">
            <v>5</v>
          </cell>
          <cell r="F153">
            <v>444.76</v>
          </cell>
          <cell r="N153">
            <v>2223.8000000000002</v>
          </cell>
        </row>
        <row r="154">
          <cell r="E154">
            <v>2</v>
          </cell>
          <cell r="F154">
            <v>399.04</v>
          </cell>
          <cell r="N154">
            <v>798.08</v>
          </cell>
        </row>
        <row r="155">
          <cell r="E155">
            <v>4</v>
          </cell>
          <cell r="F155">
            <v>534.48</v>
          </cell>
          <cell r="N155">
            <v>2137.92</v>
          </cell>
        </row>
        <row r="156">
          <cell r="E156">
            <v>4</v>
          </cell>
          <cell r="F156">
            <v>408.21</v>
          </cell>
          <cell r="N156">
            <v>1632.84</v>
          </cell>
        </row>
        <row r="157">
          <cell r="E157">
            <v>1</v>
          </cell>
          <cell r="F157">
            <v>424.4</v>
          </cell>
          <cell r="N157">
            <v>424.4</v>
          </cell>
        </row>
        <row r="158">
          <cell r="E158">
            <v>2</v>
          </cell>
          <cell r="F158">
            <v>269.83</v>
          </cell>
          <cell r="N158">
            <v>539.66</v>
          </cell>
        </row>
        <row r="159">
          <cell r="E159">
            <v>2</v>
          </cell>
          <cell r="F159">
            <v>564.58000000000004</v>
          </cell>
          <cell r="N159">
            <v>1129.1600000000001</v>
          </cell>
        </row>
        <row r="160">
          <cell r="E160">
            <v>1</v>
          </cell>
          <cell r="F160">
            <v>331.06</v>
          </cell>
          <cell r="N160">
            <v>331.06</v>
          </cell>
        </row>
        <row r="161">
          <cell r="E161">
            <v>1</v>
          </cell>
          <cell r="F161">
            <v>299.35000000000002</v>
          </cell>
          <cell r="N161">
            <v>299.35000000000002</v>
          </cell>
        </row>
        <row r="162">
          <cell r="E162">
            <v>4</v>
          </cell>
          <cell r="F162">
            <v>101.32</v>
          </cell>
          <cell r="N162">
            <v>405.28</v>
          </cell>
        </row>
        <row r="163">
          <cell r="E163">
            <v>1</v>
          </cell>
          <cell r="F163">
            <v>211.14</v>
          </cell>
          <cell r="N163">
            <v>211.14</v>
          </cell>
        </row>
        <row r="164">
          <cell r="E164">
            <v>3</v>
          </cell>
          <cell r="F164">
            <v>65.86</v>
          </cell>
          <cell r="N164">
            <v>197.58</v>
          </cell>
        </row>
        <row r="165">
          <cell r="E165">
            <v>1</v>
          </cell>
          <cell r="F165">
            <v>641.39</v>
          </cell>
          <cell r="N165">
            <v>641.39</v>
          </cell>
        </row>
        <row r="166">
          <cell r="E166">
            <v>5</v>
          </cell>
          <cell r="F166">
            <v>536.58000000000004</v>
          </cell>
          <cell r="N166">
            <v>2682.9</v>
          </cell>
        </row>
        <row r="167">
          <cell r="E167">
            <v>2</v>
          </cell>
          <cell r="F167">
            <v>500.29</v>
          </cell>
          <cell r="N167">
            <v>1000.58</v>
          </cell>
        </row>
        <row r="168">
          <cell r="E168">
            <v>3</v>
          </cell>
          <cell r="F168">
            <v>86.29</v>
          </cell>
          <cell r="N168">
            <v>258.87</v>
          </cell>
        </row>
        <row r="169">
          <cell r="E169">
            <v>2</v>
          </cell>
          <cell r="F169">
            <v>384.14</v>
          </cell>
          <cell r="N169">
            <v>768.28</v>
          </cell>
        </row>
        <row r="170">
          <cell r="E170">
            <v>1</v>
          </cell>
          <cell r="F170">
            <v>594.96</v>
          </cell>
          <cell r="N170">
            <v>594.96</v>
          </cell>
        </row>
        <row r="171">
          <cell r="E171">
            <v>1</v>
          </cell>
          <cell r="F171">
            <v>427.82</v>
          </cell>
          <cell r="N171">
            <v>427.82</v>
          </cell>
        </row>
        <row r="172">
          <cell r="E172">
            <v>4</v>
          </cell>
          <cell r="F172">
            <v>662.94</v>
          </cell>
          <cell r="N172">
            <v>2651.76</v>
          </cell>
        </row>
        <row r="173">
          <cell r="E173">
            <v>2</v>
          </cell>
          <cell r="F173">
            <v>148.22</v>
          </cell>
          <cell r="N173">
            <v>296.44</v>
          </cell>
        </row>
        <row r="174">
          <cell r="E174">
            <v>1</v>
          </cell>
          <cell r="F174">
            <v>254.12</v>
          </cell>
          <cell r="N174">
            <v>254.12</v>
          </cell>
        </row>
        <row r="175">
          <cell r="E175">
            <v>3</v>
          </cell>
          <cell r="F175">
            <v>664.46</v>
          </cell>
          <cell r="N175">
            <v>1993.38</v>
          </cell>
        </row>
        <row r="176">
          <cell r="E176">
            <v>4</v>
          </cell>
          <cell r="F176">
            <v>600.80999999999995</v>
          </cell>
          <cell r="N176">
            <v>2403.2399999999998</v>
          </cell>
        </row>
        <row r="177">
          <cell r="E177">
            <v>5</v>
          </cell>
          <cell r="F177">
            <v>68.34</v>
          </cell>
          <cell r="N177">
            <v>341.7</v>
          </cell>
        </row>
        <row r="178">
          <cell r="E178">
            <v>4</v>
          </cell>
          <cell r="F178">
            <v>430.83</v>
          </cell>
          <cell r="N178">
            <v>1723.32</v>
          </cell>
        </row>
        <row r="179">
          <cell r="E179">
            <v>5</v>
          </cell>
          <cell r="F179">
            <v>431.69</v>
          </cell>
          <cell r="N179">
            <v>2158.4499999999998</v>
          </cell>
        </row>
        <row r="180">
          <cell r="E180">
            <v>4</v>
          </cell>
          <cell r="F180">
            <v>512.05999999999995</v>
          </cell>
          <cell r="N180">
            <v>2048.2399999999998</v>
          </cell>
        </row>
        <row r="181">
          <cell r="E181">
            <v>3</v>
          </cell>
          <cell r="F181">
            <v>539.91</v>
          </cell>
          <cell r="N181">
            <v>1619.73</v>
          </cell>
        </row>
        <row r="182">
          <cell r="E182">
            <v>5</v>
          </cell>
          <cell r="F182">
            <v>316.07</v>
          </cell>
          <cell r="N182">
            <v>1580.35</v>
          </cell>
        </row>
        <row r="183">
          <cell r="E183">
            <v>5</v>
          </cell>
          <cell r="F183">
            <v>404.39</v>
          </cell>
          <cell r="N183">
            <v>2021.95</v>
          </cell>
        </row>
        <row r="184">
          <cell r="E184">
            <v>1</v>
          </cell>
          <cell r="F184">
            <v>600.54</v>
          </cell>
          <cell r="N184">
            <v>600.54</v>
          </cell>
        </row>
        <row r="185">
          <cell r="E185">
            <v>5</v>
          </cell>
          <cell r="F185">
            <v>186.28</v>
          </cell>
          <cell r="N185">
            <v>931.4</v>
          </cell>
        </row>
        <row r="186">
          <cell r="E186">
            <v>4</v>
          </cell>
          <cell r="F186">
            <v>214.54</v>
          </cell>
          <cell r="N186">
            <v>858.16</v>
          </cell>
        </row>
        <row r="187">
          <cell r="E187">
            <v>1</v>
          </cell>
          <cell r="F187">
            <v>210.7</v>
          </cell>
          <cell r="N187">
            <v>210.7</v>
          </cell>
        </row>
        <row r="188">
          <cell r="E188">
            <v>2</v>
          </cell>
          <cell r="F188">
            <v>133.55000000000001</v>
          </cell>
          <cell r="N188">
            <v>267.10000000000002</v>
          </cell>
        </row>
        <row r="189">
          <cell r="E189">
            <v>1</v>
          </cell>
          <cell r="F189">
            <v>590.87</v>
          </cell>
          <cell r="N189">
            <v>590.87</v>
          </cell>
        </row>
        <row r="190">
          <cell r="E190">
            <v>2</v>
          </cell>
          <cell r="F190">
            <v>363.91</v>
          </cell>
          <cell r="N190">
            <v>727.82</v>
          </cell>
        </row>
        <row r="191">
          <cell r="E191">
            <v>5</v>
          </cell>
          <cell r="F191">
            <v>429.45</v>
          </cell>
          <cell r="N191">
            <v>2147.25</v>
          </cell>
        </row>
        <row r="192">
          <cell r="E192">
            <v>3</v>
          </cell>
          <cell r="F192">
            <v>223.7</v>
          </cell>
          <cell r="N192">
            <v>671.09999999999991</v>
          </cell>
        </row>
        <row r="193">
          <cell r="E193">
            <v>2</v>
          </cell>
          <cell r="F193">
            <v>488.87</v>
          </cell>
          <cell r="N193">
            <v>977.74</v>
          </cell>
        </row>
        <row r="194">
          <cell r="E194">
            <v>1</v>
          </cell>
          <cell r="F194">
            <v>645.46</v>
          </cell>
          <cell r="N194">
            <v>645.46</v>
          </cell>
        </row>
        <row r="195">
          <cell r="E195">
            <v>1</v>
          </cell>
          <cell r="F195">
            <v>46.66</v>
          </cell>
          <cell r="N195">
            <v>46.66</v>
          </cell>
        </row>
        <row r="196">
          <cell r="E196">
            <v>1</v>
          </cell>
          <cell r="F196">
            <v>249.57</v>
          </cell>
          <cell r="N196">
            <v>249.57</v>
          </cell>
        </row>
        <row r="197">
          <cell r="E197">
            <v>3</v>
          </cell>
          <cell r="F197">
            <v>619.21</v>
          </cell>
          <cell r="N197">
            <v>1857.63</v>
          </cell>
        </row>
        <row r="198">
          <cell r="E198">
            <v>4</v>
          </cell>
          <cell r="F198">
            <v>217.13</v>
          </cell>
          <cell r="N198">
            <v>868.52</v>
          </cell>
        </row>
        <row r="199">
          <cell r="E199">
            <v>5</v>
          </cell>
          <cell r="F199">
            <v>221.51</v>
          </cell>
          <cell r="N199">
            <v>1107.55</v>
          </cell>
        </row>
        <row r="200">
          <cell r="E200">
            <v>4</v>
          </cell>
          <cell r="F200">
            <v>340.3</v>
          </cell>
          <cell r="N200">
            <v>1361.2</v>
          </cell>
        </row>
        <row r="201">
          <cell r="E201">
            <v>1</v>
          </cell>
          <cell r="F201">
            <v>625</v>
          </cell>
          <cell r="N201">
            <v>625</v>
          </cell>
        </row>
        <row r="202">
          <cell r="E202">
            <v>5</v>
          </cell>
          <cell r="F202">
            <v>433.26</v>
          </cell>
          <cell r="N202">
            <v>2166.3000000000002</v>
          </cell>
        </row>
        <row r="203">
          <cell r="E203">
            <v>2</v>
          </cell>
          <cell r="F203">
            <v>674.9</v>
          </cell>
          <cell r="N203">
            <v>1349.8</v>
          </cell>
        </row>
        <row r="204">
          <cell r="E204">
            <v>3</v>
          </cell>
          <cell r="F204">
            <v>253.98</v>
          </cell>
          <cell r="N204">
            <v>761.93999999999994</v>
          </cell>
        </row>
        <row r="205">
          <cell r="E205">
            <v>3</v>
          </cell>
          <cell r="F205">
            <v>356.84</v>
          </cell>
          <cell r="N205">
            <v>1070.52</v>
          </cell>
        </row>
        <row r="206">
          <cell r="E206">
            <v>4</v>
          </cell>
          <cell r="F206">
            <v>413.71</v>
          </cell>
          <cell r="N206">
            <v>1654.84</v>
          </cell>
        </row>
        <row r="207">
          <cell r="E207">
            <v>3</v>
          </cell>
          <cell r="F207">
            <v>147.38999999999999</v>
          </cell>
          <cell r="N207">
            <v>442.17</v>
          </cell>
        </row>
        <row r="208">
          <cell r="E208">
            <v>4</v>
          </cell>
          <cell r="F208">
            <v>229.1</v>
          </cell>
          <cell r="N208">
            <v>916.4</v>
          </cell>
        </row>
        <row r="209">
          <cell r="E209">
            <v>1</v>
          </cell>
          <cell r="F209">
            <v>121.96</v>
          </cell>
          <cell r="N209">
            <v>121.96</v>
          </cell>
        </row>
        <row r="210">
          <cell r="E210">
            <v>2</v>
          </cell>
          <cell r="F210">
            <v>408.32</v>
          </cell>
          <cell r="N210">
            <v>816.64</v>
          </cell>
        </row>
        <row r="211">
          <cell r="E211">
            <v>5</v>
          </cell>
          <cell r="F211">
            <v>187.97</v>
          </cell>
          <cell r="N211">
            <v>939.85</v>
          </cell>
        </row>
        <row r="212">
          <cell r="E212">
            <v>3</v>
          </cell>
          <cell r="F212">
            <v>358.48</v>
          </cell>
          <cell r="N212">
            <v>1075.44</v>
          </cell>
        </row>
        <row r="213">
          <cell r="E213">
            <v>3</v>
          </cell>
          <cell r="F213">
            <v>193.58</v>
          </cell>
          <cell r="N213">
            <v>580.74</v>
          </cell>
        </row>
        <row r="214">
          <cell r="E214">
            <v>1</v>
          </cell>
          <cell r="F214">
            <v>265.38</v>
          </cell>
          <cell r="N214">
            <v>265.38</v>
          </cell>
        </row>
        <row r="215">
          <cell r="E215">
            <v>1</v>
          </cell>
          <cell r="F215">
            <v>634.4</v>
          </cell>
          <cell r="N215">
            <v>634.4</v>
          </cell>
        </row>
        <row r="216">
          <cell r="E216">
            <v>4</v>
          </cell>
          <cell r="F216">
            <v>305.72000000000003</v>
          </cell>
          <cell r="N216">
            <v>1222.8800000000001</v>
          </cell>
        </row>
        <row r="217">
          <cell r="E217">
            <v>1</v>
          </cell>
          <cell r="F217">
            <v>303.60000000000002</v>
          </cell>
          <cell r="N217">
            <v>303.60000000000002</v>
          </cell>
        </row>
        <row r="218">
          <cell r="E218">
            <v>4</v>
          </cell>
          <cell r="F218">
            <v>496</v>
          </cell>
          <cell r="N218">
            <v>1984</v>
          </cell>
        </row>
        <row r="219">
          <cell r="E219">
            <v>4</v>
          </cell>
          <cell r="F219">
            <v>321.51</v>
          </cell>
          <cell r="N219">
            <v>1286.04</v>
          </cell>
        </row>
        <row r="220">
          <cell r="E220">
            <v>3</v>
          </cell>
          <cell r="F220">
            <v>112.46</v>
          </cell>
          <cell r="N220">
            <v>337.38</v>
          </cell>
        </row>
        <row r="221">
          <cell r="E221">
            <v>5</v>
          </cell>
          <cell r="F221">
            <v>61.97</v>
          </cell>
          <cell r="N221">
            <v>309.85000000000002</v>
          </cell>
        </row>
        <row r="222">
          <cell r="E222">
            <v>2</v>
          </cell>
          <cell r="F222">
            <v>373.17</v>
          </cell>
          <cell r="N222">
            <v>746.34</v>
          </cell>
        </row>
        <row r="223">
          <cell r="E223">
            <v>5</v>
          </cell>
          <cell r="F223">
            <v>639.37</v>
          </cell>
          <cell r="N223">
            <v>3196.85</v>
          </cell>
        </row>
        <row r="224">
          <cell r="E224">
            <v>4</v>
          </cell>
          <cell r="F224">
            <v>693.36</v>
          </cell>
          <cell r="N224">
            <v>2773.44</v>
          </cell>
        </row>
        <row r="225">
          <cell r="E225">
            <v>4</v>
          </cell>
          <cell r="F225">
            <v>692.91</v>
          </cell>
          <cell r="N225">
            <v>2771.64</v>
          </cell>
        </row>
        <row r="226">
          <cell r="E226">
            <v>4</v>
          </cell>
          <cell r="F226">
            <v>91.46</v>
          </cell>
          <cell r="N226">
            <v>365.84</v>
          </cell>
        </row>
        <row r="227">
          <cell r="E227">
            <v>3</v>
          </cell>
          <cell r="F227">
            <v>273.95999999999998</v>
          </cell>
          <cell r="N227">
            <v>821.87999999999988</v>
          </cell>
        </row>
        <row r="228">
          <cell r="E228">
            <v>3</v>
          </cell>
          <cell r="F228">
            <v>588.04999999999995</v>
          </cell>
          <cell r="N228">
            <v>1764.15</v>
          </cell>
        </row>
        <row r="229">
          <cell r="E229">
            <v>2</v>
          </cell>
          <cell r="F229">
            <v>365.17</v>
          </cell>
          <cell r="N229">
            <v>730.34</v>
          </cell>
        </row>
        <row r="230">
          <cell r="E230">
            <v>4</v>
          </cell>
          <cell r="F230">
            <v>385.92</v>
          </cell>
          <cell r="N230">
            <v>1543.68</v>
          </cell>
        </row>
        <row r="231">
          <cell r="E231">
            <v>1</v>
          </cell>
          <cell r="F231">
            <v>562.61</v>
          </cell>
          <cell r="N231">
            <v>562.61</v>
          </cell>
        </row>
        <row r="232">
          <cell r="E232">
            <v>4</v>
          </cell>
          <cell r="F232">
            <v>61.91</v>
          </cell>
          <cell r="N232">
            <v>247.64</v>
          </cell>
        </row>
        <row r="233">
          <cell r="E233">
            <v>4</v>
          </cell>
          <cell r="F233">
            <v>41.9</v>
          </cell>
          <cell r="N233">
            <v>167.6</v>
          </cell>
        </row>
        <row r="234">
          <cell r="E234">
            <v>4</v>
          </cell>
          <cell r="F234">
            <v>444.44</v>
          </cell>
          <cell r="N234">
            <v>1777.76</v>
          </cell>
        </row>
        <row r="235">
          <cell r="E235">
            <v>3</v>
          </cell>
          <cell r="F235">
            <v>311.33</v>
          </cell>
          <cell r="N235">
            <v>933.99</v>
          </cell>
        </row>
        <row r="236">
          <cell r="E236">
            <v>4</v>
          </cell>
          <cell r="F236">
            <v>236.41</v>
          </cell>
          <cell r="N236">
            <v>945.64</v>
          </cell>
        </row>
        <row r="237">
          <cell r="E237">
            <v>1</v>
          </cell>
          <cell r="F237">
            <v>65.45</v>
          </cell>
          <cell r="N237">
            <v>65.45</v>
          </cell>
        </row>
        <row r="238">
          <cell r="E238">
            <v>1</v>
          </cell>
          <cell r="F238">
            <v>318.81</v>
          </cell>
          <cell r="N238">
            <v>318.81</v>
          </cell>
        </row>
        <row r="239">
          <cell r="E239">
            <v>3</v>
          </cell>
          <cell r="F239">
            <v>583.72</v>
          </cell>
          <cell r="N239">
            <v>1751.16</v>
          </cell>
        </row>
        <row r="240">
          <cell r="E240">
            <v>4</v>
          </cell>
          <cell r="F240">
            <v>384.32</v>
          </cell>
          <cell r="N240">
            <v>1537.28</v>
          </cell>
        </row>
        <row r="241">
          <cell r="E241">
            <v>3</v>
          </cell>
          <cell r="F241">
            <v>538.74</v>
          </cell>
          <cell r="N241">
            <v>1616.22</v>
          </cell>
        </row>
        <row r="242">
          <cell r="E242">
            <v>1</v>
          </cell>
          <cell r="F242">
            <v>17.239999999999998</v>
          </cell>
          <cell r="N242">
            <v>17.239999999999998</v>
          </cell>
        </row>
        <row r="243">
          <cell r="E243">
            <v>5</v>
          </cell>
          <cell r="F243">
            <v>615.66999999999996</v>
          </cell>
          <cell r="N243">
            <v>3078.35</v>
          </cell>
        </row>
        <row r="244">
          <cell r="E244">
            <v>2</v>
          </cell>
          <cell r="F244">
            <v>219.1</v>
          </cell>
          <cell r="N244">
            <v>438.2</v>
          </cell>
        </row>
        <row r="245">
          <cell r="E245">
            <v>2</v>
          </cell>
          <cell r="F245">
            <v>144.66</v>
          </cell>
          <cell r="N245">
            <v>289.32</v>
          </cell>
        </row>
        <row r="246">
          <cell r="E246">
            <v>2</v>
          </cell>
          <cell r="F246">
            <v>317.77</v>
          </cell>
          <cell r="N246">
            <v>635.54</v>
          </cell>
        </row>
        <row r="247">
          <cell r="E247">
            <v>1</v>
          </cell>
          <cell r="F247">
            <v>223.3</v>
          </cell>
          <cell r="N247">
            <v>223.3</v>
          </cell>
        </row>
        <row r="248">
          <cell r="E248">
            <v>2</v>
          </cell>
          <cell r="F248">
            <v>342.11</v>
          </cell>
          <cell r="N248">
            <v>684.22</v>
          </cell>
        </row>
        <row r="249">
          <cell r="E249">
            <v>2</v>
          </cell>
          <cell r="F249">
            <v>220.9</v>
          </cell>
          <cell r="N249">
            <v>441.8</v>
          </cell>
        </row>
        <row r="250">
          <cell r="E250">
            <v>1</v>
          </cell>
          <cell r="F250">
            <v>670.54</v>
          </cell>
          <cell r="N250">
            <v>670.54</v>
          </cell>
        </row>
        <row r="251">
          <cell r="E251">
            <v>1</v>
          </cell>
          <cell r="F251">
            <v>546.19000000000005</v>
          </cell>
          <cell r="N251">
            <v>546.19000000000005</v>
          </cell>
        </row>
        <row r="252">
          <cell r="E252">
            <v>3</v>
          </cell>
          <cell r="F252">
            <v>42.95</v>
          </cell>
          <cell r="N252">
            <v>128.85</v>
          </cell>
        </row>
        <row r="253">
          <cell r="E253">
            <v>4</v>
          </cell>
          <cell r="F253">
            <v>14.69</v>
          </cell>
          <cell r="N253">
            <v>58.76</v>
          </cell>
        </row>
        <row r="254">
          <cell r="E254">
            <v>4</v>
          </cell>
          <cell r="F254">
            <v>668.36</v>
          </cell>
          <cell r="N254">
            <v>2673.44</v>
          </cell>
        </row>
        <row r="255">
          <cell r="E255">
            <v>4</v>
          </cell>
          <cell r="F255">
            <v>413.74</v>
          </cell>
          <cell r="N255">
            <v>1654.96</v>
          </cell>
        </row>
        <row r="256">
          <cell r="E256">
            <v>3</v>
          </cell>
          <cell r="F256">
            <v>263.19</v>
          </cell>
          <cell r="N256">
            <v>789.56999999999994</v>
          </cell>
        </row>
        <row r="257">
          <cell r="E257">
            <v>1</v>
          </cell>
          <cell r="F257">
            <v>263.95999999999998</v>
          </cell>
          <cell r="N257">
            <v>263.95999999999998</v>
          </cell>
        </row>
        <row r="258">
          <cell r="E258">
            <v>5</v>
          </cell>
          <cell r="F258">
            <v>75.81</v>
          </cell>
          <cell r="N258">
            <v>379.05</v>
          </cell>
        </row>
        <row r="259">
          <cell r="E259">
            <v>1</v>
          </cell>
          <cell r="F259">
            <v>406.22</v>
          </cell>
          <cell r="N259">
            <v>406.22</v>
          </cell>
        </row>
        <row r="260">
          <cell r="E260">
            <v>2</v>
          </cell>
          <cell r="F260">
            <v>103.41</v>
          </cell>
          <cell r="N260">
            <v>206.82</v>
          </cell>
        </row>
        <row r="261">
          <cell r="E261">
            <v>4</v>
          </cell>
          <cell r="F261">
            <v>435.12</v>
          </cell>
          <cell r="N261">
            <v>1740.48</v>
          </cell>
        </row>
        <row r="262">
          <cell r="E262">
            <v>2</v>
          </cell>
          <cell r="F262">
            <v>407.79</v>
          </cell>
          <cell r="N262">
            <v>815.58</v>
          </cell>
        </row>
        <row r="263">
          <cell r="E263">
            <v>5</v>
          </cell>
          <cell r="F263">
            <v>173.65</v>
          </cell>
          <cell r="N263">
            <v>868.25</v>
          </cell>
        </row>
        <row r="264">
          <cell r="E264">
            <v>4</v>
          </cell>
          <cell r="F264">
            <v>249.07</v>
          </cell>
          <cell r="N264">
            <v>996.28</v>
          </cell>
        </row>
        <row r="265">
          <cell r="E265">
            <v>4</v>
          </cell>
          <cell r="F265">
            <v>434.85</v>
          </cell>
          <cell r="N265">
            <v>1739.4</v>
          </cell>
        </row>
        <row r="266">
          <cell r="E266">
            <v>1</v>
          </cell>
          <cell r="F266">
            <v>436.77</v>
          </cell>
          <cell r="N266">
            <v>436.77</v>
          </cell>
        </row>
        <row r="267">
          <cell r="E267">
            <v>1</v>
          </cell>
          <cell r="F267">
            <v>572.13</v>
          </cell>
          <cell r="N267">
            <v>572.13</v>
          </cell>
        </row>
        <row r="268">
          <cell r="E268">
            <v>4</v>
          </cell>
          <cell r="F268">
            <v>583.07000000000005</v>
          </cell>
          <cell r="N268">
            <v>2332.2800000000002</v>
          </cell>
        </row>
        <row r="269">
          <cell r="E269">
            <v>5</v>
          </cell>
          <cell r="F269">
            <v>468.51</v>
          </cell>
          <cell r="N269">
            <v>2342.5500000000002</v>
          </cell>
        </row>
        <row r="270">
          <cell r="E270">
            <v>2</v>
          </cell>
          <cell r="F270">
            <v>423.88</v>
          </cell>
          <cell r="N270">
            <v>847.76</v>
          </cell>
        </row>
        <row r="271">
          <cell r="E271">
            <v>4</v>
          </cell>
          <cell r="F271">
            <v>663.67</v>
          </cell>
          <cell r="N271">
            <v>2654.68</v>
          </cell>
        </row>
        <row r="272">
          <cell r="E272">
            <v>4</v>
          </cell>
          <cell r="F272">
            <v>309.91000000000003</v>
          </cell>
          <cell r="N272">
            <v>1239.6400000000001</v>
          </cell>
        </row>
        <row r="273">
          <cell r="E273">
            <v>1</v>
          </cell>
          <cell r="F273">
            <v>542.07000000000005</v>
          </cell>
          <cell r="N273">
            <v>542.07000000000005</v>
          </cell>
        </row>
        <row r="274">
          <cell r="E274">
            <v>2</v>
          </cell>
          <cell r="F274">
            <v>399.32</v>
          </cell>
          <cell r="N274">
            <v>798.64</v>
          </cell>
        </row>
        <row r="275">
          <cell r="E275">
            <v>2</v>
          </cell>
          <cell r="F275">
            <v>238.25</v>
          </cell>
          <cell r="N275">
            <v>476.5</v>
          </cell>
        </row>
        <row r="276">
          <cell r="E276">
            <v>2</v>
          </cell>
          <cell r="F276">
            <v>182.4</v>
          </cell>
          <cell r="N276">
            <v>364.8</v>
          </cell>
        </row>
        <row r="277">
          <cell r="E277">
            <v>2</v>
          </cell>
          <cell r="F277">
            <v>65.069999999999993</v>
          </cell>
          <cell r="N277">
            <v>130.13999999999999</v>
          </cell>
        </row>
        <row r="278">
          <cell r="E278">
            <v>2</v>
          </cell>
          <cell r="F278">
            <v>600.57000000000005</v>
          </cell>
          <cell r="N278">
            <v>1201.1400000000001</v>
          </cell>
        </row>
        <row r="279">
          <cell r="E279">
            <v>5</v>
          </cell>
          <cell r="F279">
            <v>90.92</v>
          </cell>
          <cell r="N279">
            <v>454.6</v>
          </cell>
        </row>
        <row r="280">
          <cell r="E280">
            <v>5</v>
          </cell>
          <cell r="F280">
            <v>362.46</v>
          </cell>
          <cell r="N280">
            <v>1812.3</v>
          </cell>
        </row>
        <row r="281">
          <cell r="E281">
            <v>3</v>
          </cell>
          <cell r="F281">
            <v>55.01</v>
          </cell>
          <cell r="N281">
            <v>165.03</v>
          </cell>
        </row>
        <row r="282">
          <cell r="E282">
            <v>3</v>
          </cell>
          <cell r="F282">
            <v>404.62</v>
          </cell>
          <cell r="N282">
            <v>1213.8599999999999</v>
          </cell>
        </row>
        <row r="283">
          <cell r="E283">
            <v>4</v>
          </cell>
          <cell r="F283">
            <v>654.79</v>
          </cell>
          <cell r="N283">
            <v>2619.16</v>
          </cell>
        </row>
        <row r="284">
          <cell r="E284">
            <v>4</v>
          </cell>
          <cell r="F284">
            <v>637.79</v>
          </cell>
          <cell r="N284">
            <v>2551.16</v>
          </cell>
        </row>
        <row r="285">
          <cell r="E285">
            <v>4</v>
          </cell>
          <cell r="F285">
            <v>540.33000000000004</v>
          </cell>
          <cell r="N285">
            <v>2161.3200000000002</v>
          </cell>
        </row>
        <row r="286">
          <cell r="E286">
            <v>5</v>
          </cell>
          <cell r="F286">
            <v>208.17</v>
          </cell>
          <cell r="N286">
            <v>1040.8499999999999</v>
          </cell>
        </row>
        <row r="287">
          <cell r="E287">
            <v>1</v>
          </cell>
          <cell r="F287">
            <v>338.31</v>
          </cell>
          <cell r="N287">
            <v>338.31</v>
          </cell>
        </row>
        <row r="288">
          <cell r="E288">
            <v>3</v>
          </cell>
          <cell r="F288">
            <v>139.44999999999999</v>
          </cell>
          <cell r="N288">
            <v>418.35</v>
          </cell>
        </row>
        <row r="289">
          <cell r="E289">
            <v>4</v>
          </cell>
          <cell r="F289">
            <v>655.17999999999995</v>
          </cell>
          <cell r="N289">
            <v>2620.7199999999998</v>
          </cell>
        </row>
        <row r="290">
          <cell r="E290">
            <v>4</v>
          </cell>
          <cell r="F290">
            <v>512.75</v>
          </cell>
          <cell r="N290">
            <v>2051</v>
          </cell>
        </row>
        <row r="291">
          <cell r="E291">
            <v>4</v>
          </cell>
          <cell r="F291">
            <v>160.49</v>
          </cell>
          <cell r="N291">
            <v>641.96</v>
          </cell>
        </row>
        <row r="292">
          <cell r="E292">
            <v>3</v>
          </cell>
          <cell r="F292">
            <v>99.9</v>
          </cell>
          <cell r="N292">
            <v>299.7</v>
          </cell>
        </row>
        <row r="293">
          <cell r="E293">
            <v>2</v>
          </cell>
          <cell r="F293">
            <v>345.01</v>
          </cell>
          <cell r="N293">
            <v>690.02</v>
          </cell>
        </row>
        <row r="294">
          <cell r="E294">
            <v>1</v>
          </cell>
          <cell r="F294">
            <v>65.95</v>
          </cell>
          <cell r="N294">
            <v>65.95</v>
          </cell>
        </row>
        <row r="295">
          <cell r="E295">
            <v>4</v>
          </cell>
          <cell r="F295">
            <v>463.04</v>
          </cell>
          <cell r="N295">
            <v>1852.16</v>
          </cell>
        </row>
        <row r="296">
          <cell r="E296">
            <v>2</v>
          </cell>
          <cell r="F296">
            <v>297.70999999999998</v>
          </cell>
          <cell r="N296">
            <v>595.41999999999996</v>
          </cell>
        </row>
        <row r="297">
          <cell r="E297">
            <v>5</v>
          </cell>
          <cell r="F297">
            <v>107.48</v>
          </cell>
          <cell r="N297">
            <v>537.4</v>
          </cell>
        </row>
        <row r="298">
          <cell r="E298">
            <v>5</v>
          </cell>
          <cell r="F298">
            <v>638.79999999999995</v>
          </cell>
          <cell r="N298">
            <v>3194</v>
          </cell>
        </row>
        <row r="299">
          <cell r="E299">
            <v>2</v>
          </cell>
          <cell r="F299">
            <v>493.88</v>
          </cell>
          <cell r="N299">
            <v>987.76</v>
          </cell>
        </row>
        <row r="300">
          <cell r="E300">
            <v>4</v>
          </cell>
          <cell r="F300">
            <v>301.17</v>
          </cell>
          <cell r="N300">
            <v>1204.68</v>
          </cell>
        </row>
        <row r="301">
          <cell r="E301">
            <v>1</v>
          </cell>
          <cell r="F301">
            <v>278.66000000000003</v>
          </cell>
          <cell r="N301">
            <v>278.66000000000003</v>
          </cell>
        </row>
        <row r="302">
          <cell r="E302">
            <v>1</v>
          </cell>
          <cell r="F302">
            <v>287.45999999999998</v>
          </cell>
          <cell r="N302">
            <v>287.45999999999998</v>
          </cell>
        </row>
        <row r="303">
          <cell r="E303">
            <v>1</v>
          </cell>
          <cell r="F303">
            <v>583.99</v>
          </cell>
          <cell r="N303">
            <v>583.99</v>
          </cell>
        </row>
        <row r="304">
          <cell r="E304">
            <v>3</v>
          </cell>
          <cell r="F304">
            <v>468.74</v>
          </cell>
          <cell r="N304">
            <v>1406.22</v>
          </cell>
        </row>
        <row r="305">
          <cell r="E305">
            <v>1</v>
          </cell>
          <cell r="F305">
            <v>30.54</v>
          </cell>
          <cell r="N305">
            <v>30.54</v>
          </cell>
        </row>
        <row r="306">
          <cell r="E306">
            <v>5</v>
          </cell>
          <cell r="F306">
            <v>408.73</v>
          </cell>
          <cell r="N306">
            <v>2043.65</v>
          </cell>
        </row>
        <row r="307">
          <cell r="E307">
            <v>4</v>
          </cell>
          <cell r="F307">
            <v>126.89</v>
          </cell>
          <cell r="N307">
            <v>507.56</v>
          </cell>
        </row>
        <row r="308">
          <cell r="E308">
            <v>2</v>
          </cell>
          <cell r="F308">
            <v>57.07</v>
          </cell>
          <cell r="N308">
            <v>114.14</v>
          </cell>
        </row>
        <row r="309">
          <cell r="E309">
            <v>3</v>
          </cell>
          <cell r="F309">
            <v>557.41</v>
          </cell>
          <cell r="N309">
            <v>1672.23</v>
          </cell>
        </row>
        <row r="310">
          <cell r="E310">
            <v>3</v>
          </cell>
          <cell r="F310">
            <v>448.9</v>
          </cell>
          <cell r="N310">
            <v>1346.7</v>
          </cell>
        </row>
        <row r="311">
          <cell r="E311">
            <v>4</v>
          </cell>
          <cell r="F311">
            <v>549.76</v>
          </cell>
          <cell r="N311">
            <v>2199.04</v>
          </cell>
        </row>
        <row r="312">
          <cell r="E312">
            <v>3</v>
          </cell>
          <cell r="F312">
            <v>132.47999999999999</v>
          </cell>
          <cell r="N312">
            <v>397.43999999999988</v>
          </cell>
        </row>
        <row r="313">
          <cell r="E313">
            <v>5</v>
          </cell>
          <cell r="F313">
            <v>489.37</v>
          </cell>
          <cell r="N313">
            <v>2446.85</v>
          </cell>
        </row>
        <row r="314">
          <cell r="E314">
            <v>5</v>
          </cell>
          <cell r="F314">
            <v>66.31</v>
          </cell>
          <cell r="N314">
            <v>331.55</v>
          </cell>
        </row>
        <row r="315">
          <cell r="E315">
            <v>2</v>
          </cell>
          <cell r="F315">
            <v>434.3</v>
          </cell>
          <cell r="N315">
            <v>868.6</v>
          </cell>
        </row>
        <row r="316">
          <cell r="E316">
            <v>4</v>
          </cell>
          <cell r="F316">
            <v>153.09</v>
          </cell>
          <cell r="N316">
            <v>612.36</v>
          </cell>
        </row>
        <row r="317">
          <cell r="E317">
            <v>5</v>
          </cell>
          <cell r="F317">
            <v>91.67</v>
          </cell>
          <cell r="N317">
            <v>458.35</v>
          </cell>
        </row>
        <row r="318">
          <cell r="E318">
            <v>4</v>
          </cell>
          <cell r="F318">
            <v>275.27999999999997</v>
          </cell>
          <cell r="N318">
            <v>1101.1199999999999</v>
          </cell>
        </row>
        <row r="319">
          <cell r="E319">
            <v>2</v>
          </cell>
          <cell r="F319">
            <v>139.94999999999999</v>
          </cell>
          <cell r="N319">
            <v>279.89999999999998</v>
          </cell>
        </row>
        <row r="320">
          <cell r="E320">
            <v>3</v>
          </cell>
          <cell r="F320">
            <v>148.72</v>
          </cell>
          <cell r="N320">
            <v>446.16</v>
          </cell>
        </row>
        <row r="321">
          <cell r="E321">
            <v>2</v>
          </cell>
          <cell r="F321">
            <v>563.05999999999995</v>
          </cell>
          <cell r="N321">
            <v>1126.1199999999999</v>
          </cell>
        </row>
        <row r="322">
          <cell r="E322">
            <v>1</v>
          </cell>
          <cell r="F322">
            <v>625.51</v>
          </cell>
          <cell r="N322">
            <v>625.51</v>
          </cell>
        </row>
        <row r="323">
          <cell r="E323">
            <v>4</v>
          </cell>
          <cell r="F323">
            <v>152.29</v>
          </cell>
          <cell r="N323">
            <v>609.16</v>
          </cell>
        </row>
        <row r="324">
          <cell r="E324">
            <v>5</v>
          </cell>
          <cell r="F324">
            <v>231.82</v>
          </cell>
          <cell r="N324">
            <v>1159.0999999999999</v>
          </cell>
        </row>
        <row r="325">
          <cell r="E325">
            <v>1</v>
          </cell>
          <cell r="F325">
            <v>150.16999999999999</v>
          </cell>
          <cell r="N325">
            <v>150.16999999999999</v>
          </cell>
        </row>
        <row r="326">
          <cell r="E326">
            <v>3</v>
          </cell>
          <cell r="F326">
            <v>70.930000000000007</v>
          </cell>
          <cell r="N326">
            <v>212.79</v>
          </cell>
        </row>
        <row r="327">
          <cell r="E327">
            <v>3</v>
          </cell>
          <cell r="F327">
            <v>361.39</v>
          </cell>
          <cell r="N327">
            <v>1084.17</v>
          </cell>
        </row>
        <row r="328">
          <cell r="E328">
            <v>5</v>
          </cell>
          <cell r="F328">
            <v>670.48</v>
          </cell>
          <cell r="N328">
            <v>3352.4</v>
          </cell>
        </row>
        <row r="329">
          <cell r="E329">
            <v>1</v>
          </cell>
          <cell r="F329">
            <v>359.99</v>
          </cell>
          <cell r="N329">
            <v>359.99</v>
          </cell>
        </row>
        <row r="330">
          <cell r="E330">
            <v>5</v>
          </cell>
          <cell r="F330">
            <v>674.04</v>
          </cell>
          <cell r="N330">
            <v>3370.2</v>
          </cell>
        </row>
        <row r="331">
          <cell r="E331">
            <v>4</v>
          </cell>
          <cell r="F331">
            <v>283.16000000000003</v>
          </cell>
          <cell r="N331">
            <v>1132.6400000000001</v>
          </cell>
        </row>
        <row r="332">
          <cell r="E332">
            <v>5</v>
          </cell>
          <cell r="F332">
            <v>260.52999999999997</v>
          </cell>
          <cell r="N332">
            <v>1302.6500000000001</v>
          </cell>
        </row>
        <row r="333">
          <cell r="E333">
            <v>3</v>
          </cell>
          <cell r="F333">
            <v>422.13</v>
          </cell>
          <cell r="N333">
            <v>1266.3900000000001</v>
          </cell>
        </row>
        <row r="334">
          <cell r="E334">
            <v>5</v>
          </cell>
          <cell r="F334">
            <v>125.02</v>
          </cell>
          <cell r="N334">
            <v>625.1</v>
          </cell>
        </row>
        <row r="335">
          <cell r="E335">
            <v>1</v>
          </cell>
          <cell r="F335">
            <v>198.51</v>
          </cell>
          <cell r="N335">
            <v>198.51</v>
          </cell>
        </row>
        <row r="336">
          <cell r="E336">
            <v>4</v>
          </cell>
          <cell r="F336">
            <v>224.75</v>
          </cell>
          <cell r="N336">
            <v>899</v>
          </cell>
        </row>
        <row r="337">
          <cell r="E337">
            <v>3</v>
          </cell>
          <cell r="F337">
            <v>205.86</v>
          </cell>
          <cell r="N337">
            <v>617.58000000000004</v>
          </cell>
        </row>
        <row r="338">
          <cell r="E338">
            <v>1</v>
          </cell>
          <cell r="F338">
            <v>18.2</v>
          </cell>
          <cell r="N338">
            <v>18.2</v>
          </cell>
        </row>
        <row r="339">
          <cell r="E339">
            <v>3</v>
          </cell>
          <cell r="F339">
            <v>502.77</v>
          </cell>
          <cell r="N339">
            <v>1508.31</v>
          </cell>
        </row>
        <row r="340">
          <cell r="E340">
            <v>5</v>
          </cell>
          <cell r="F340">
            <v>305.49</v>
          </cell>
          <cell r="N340">
            <v>1527.45</v>
          </cell>
        </row>
        <row r="341">
          <cell r="E341">
            <v>2</v>
          </cell>
          <cell r="F341">
            <v>236.33</v>
          </cell>
          <cell r="N341">
            <v>472.66</v>
          </cell>
        </row>
        <row r="342">
          <cell r="E342">
            <v>5</v>
          </cell>
          <cell r="F342">
            <v>521.25</v>
          </cell>
          <cell r="N342">
            <v>2606.25</v>
          </cell>
        </row>
        <row r="343">
          <cell r="E343">
            <v>1</v>
          </cell>
          <cell r="F343">
            <v>167.15</v>
          </cell>
          <cell r="N343">
            <v>167.15</v>
          </cell>
        </row>
        <row r="344">
          <cell r="E344">
            <v>5</v>
          </cell>
          <cell r="F344">
            <v>466.42</v>
          </cell>
          <cell r="N344">
            <v>2332.1</v>
          </cell>
        </row>
        <row r="345">
          <cell r="E345">
            <v>1</v>
          </cell>
          <cell r="F345">
            <v>527.57000000000005</v>
          </cell>
          <cell r="N345">
            <v>527.57000000000005</v>
          </cell>
        </row>
        <row r="346">
          <cell r="E346">
            <v>3</v>
          </cell>
          <cell r="F346">
            <v>623.34</v>
          </cell>
          <cell r="N346">
            <v>1870.02</v>
          </cell>
        </row>
        <row r="347">
          <cell r="E347">
            <v>5</v>
          </cell>
          <cell r="F347">
            <v>501.26</v>
          </cell>
          <cell r="N347">
            <v>2506.3000000000002</v>
          </cell>
        </row>
        <row r="348">
          <cell r="E348">
            <v>1</v>
          </cell>
          <cell r="F348">
            <v>655.09</v>
          </cell>
          <cell r="N348">
            <v>655.09</v>
          </cell>
        </row>
        <row r="349">
          <cell r="E349">
            <v>4</v>
          </cell>
          <cell r="F349">
            <v>264.79000000000002</v>
          </cell>
          <cell r="N349">
            <v>1059.1600000000001</v>
          </cell>
        </row>
        <row r="350">
          <cell r="E350">
            <v>3</v>
          </cell>
          <cell r="F350">
            <v>359.73</v>
          </cell>
          <cell r="N350">
            <v>1079.19</v>
          </cell>
        </row>
        <row r="351">
          <cell r="E351">
            <v>1</v>
          </cell>
          <cell r="F351">
            <v>465.33</v>
          </cell>
          <cell r="N351">
            <v>465.33</v>
          </cell>
        </row>
        <row r="352">
          <cell r="E352">
            <v>2</v>
          </cell>
          <cell r="F352">
            <v>54.41</v>
          </cell>
          <cell r="N352">
            <v>108.82</v>
          </cell>
        </row>
        <row r="353">
          <cell r="E353">
            <v>1</v>
          </cell>
          <cell r="F353">
            <v>64.66</v>
          </cell>
          <cell r="N353">
            <v>64.66</v>
          </cell>
        </row>
        <row r="354">
          <cell r="E354">
            <v>5</v>
          </cell>
          <cell r="F354">
            <v>173.96</v>
          </cell>
          <cell r="N354">
            <v>869.80000000000007</v>
          </cell>
        </row>
        <row r="355">
          <cell r="E355">
            <v>1</v>
          </cell>
          <cell r="F355">
            <v>630.82000000000005</v>
          </cell>
          <cell r="N355">
            <v>630.82000000000005</v>
          </cell>
        </row>
        <row r="356">
          <cell r="E356">
            <v>1</v>
          </cell>
          <cell r="F356">
            <v>693.41</v>
          </cell>
          <cell r="N356">
            <v>693.41</v>
          </cell>
        </row>
        <row r="357">
          <cell r="E357">
            <v>3</v>
          </cell>
          <cell r="F357">
            <v>433.33</v>
          </cell>
          <cell r="N357">
            <v>1299.99</v>
          </cell>
        </row>
        <row r="358">
          <cell r="E358">
            <v>5</v>
          </cell>
          <cell r="F358">
            <v>374.58</v>
          </cell>
          <cell r="N358">
            <v>1872.9</v>
          </cell>
        </row>
        <row r="359">
          <cell r="E359">
            <v>5</v>
          </cell>
          <cell r="F359">
            <v>408.56</v>
          </cell>
          <cell r="N359">
            <v>2042.8</v>
          </cell>
        </row>
        <row r="360">
          <cell r="E360">
            <v>2</v>
          </cell>
          <cell r="F360">
            <v>183.67</v>
          </cell>
          <cell r="N360">
            <v>367.34</v>
          </cell>
        </row>
        <row r="361">
          <cell r="E361">
            <v>4</v>
          </cell>
          <cell r="F361">
            <v>606.57000000000005</v>
          </cell>
          <cell r="N361">
            <v>2426.2800000000002</v>
          </cell>
        </row>
        <row r="362">
          <cell r="E362">
            <v>4</v>
          </cell>
          <cell r="F362">
            <v>589.57000000000005</v>
          </cell>
          <cell r="N362">
            <v>2358.2800000000002</v>
          </cell>
        </row>
        <row r="363">
          <cell r="E363">
            <v>5</v>
          </cell>
          <cell r="F363">
            <v>659.85</v>
          </cell>
          <cell r="N363">
            <v>3299.25</v>
          </cell>
        </row>
        <row r="364">
          <cell r="E364">
            <v>4</v>
          </cell>
          <cell r="F364">
            <v>206.84</v>
          </cell>
          <cell r="N364">
            <v>827.36</v>
          </cell>
        </row>
        <row r="365">
          <cell r="E365">
            <v>5</v>
          </cell>
          <cell r="F365">
            <v>113.87</v>
          </cell>
          <cell r="N365">
            <v>569.35</v>
          </cell>
        </row>
        <row r="366">
          <cell r="E366">
            <v>5</v>
          </cell>
          <cell r="F366">
            <v>628.74</v>
          </cell>
          <cell r="N366">
            <v>3143.7</v>
          </cell>
        </row>
        <row r="367">
          <cell r="E367">
            <v>1</v>
          </cell>
          <cell r="F367">
            <v>678.38</v>
          </cell>
          <cell r="N367">
            <v>678.38</v>
          </cell>
        </row>
        <row r="368">
          <cell r="E368">
            <v>3</v>
          </cell>
          <cell r="F368">
            <v>602.24</v>
          </cell>
          <cell r="N368">
            <v>1806.72</v>
          </cell>
        </row>
        <row r="369">
          <cell r="E369">
            <v>5</v>
          </cell>
          <cell r="F369">
            <v>658.77</v>
          </cell>
          <cell r="N369">
            <v>3293.85</v>
          </cell>
        </row>
        <row r="370">
          <cell r="E370">
            <v>3</v>
          </cell>
          <cell r="F370">
            <v>271.02</v>
          </cell>
          <cell r="N370">
            <v>813.06</v>
          </cell>
        </row>
        <row r="371">
          <cell r="E371">
            <v>5</v>
          </cell>
          <cell r="F371">
            <v>375.25</v>
          </cell>
          <cell r="N371">
            <v>1876.25</v>
          </cell>
        </row>
        <row r="372">
          <cell r="E372">
            <v>1</v>
          </cell>
          <cell r="F372">
            <v>312.11</v>
          </cell>
          <cell r="N372">
            <v>312.11</v>
          </cell>
        </row>
        <row r="373">
          <cell r="E373">
            <v>5</v>
          </cell>
          <cell r="F373">
            <v>307.76</v>
          </cell>
          <cell r="N373">
            <v>1538.8</v>
          </cell>
        </row>
        <row r="374">
          <cell r="E374">
            <v>3</v>
          </cell>
          <cell r="F374">
            <v>483.53</v>
          </cell>
          <cell r="N374">
            <v>1450.59</v>
          </cell>
        </row>
        <row r="375">
          <cell r="E375">
            <v>3</v>
          </cell>
          <cell r="F375">
            <v>341.15</v>
          </cell>
          <cell r="N375">
            <v>1023.45</v>
          </cell>
        </row>
        <row r="376">
          <cell r="E376">
            <v>1</v>
          </cell>
          <cell r="F376">
            <v>571.9</v>
          </cell>
          <cell r="N376">
            <v>571.9</v>
          </cell>
        </row>
        <row r="377">
          <cell r="E377">
            <v>4</v>
          </cell>
          <cell r="F377">
            <v>95.03</v>
          </cell>
          <cell r="N377">
            <v>380.12</v>
          </cell>
        </row>
        <row r="378">
          <cell r="E378">
            <v>5</v>
          </cell>
          <cell r="F378">
            <v>201.22</v>
          </cell>
          <cell r="N378">
            <v>1006.1</v>
          </cell>
        </row>
        <row r="379">
          <cell r="E379">
            <v>1</v>
          </cell>
          <cell r="F379">
            <v>260.26</v>
          </cell>
          <cell r="N379">
            <v>260.26</v>
          </cell>
        </row>
        <row r="380">
          <cell r="E380">
            <v>5</v>
          </cell>
          <cell r="F380">
            <v>64.5</v>
          </cell>
          <cell r="N380">
            <v>322.5</v>
          </cell>
        </row>
        <row r="381">
          <cell r="E381">
            <v>3</v>
          </cell>
          <cell r="F381">
            <v>297.67</v>
          </cell>
          <cell r="N381">
            <v>893.01</v>
          </cell>
        </row>
        <row r="382">
          <cell r="E382">
            <v>4</v>
          </cell>
          <cell r="F382">
            <v>331.9</v>
          </cell>
          <cell r="N382">
            <v>1327.6</v>
          </cell>
        </row>
        <row r="383">
          <cell r="E383">
            <v>1</v>
          </cell>
          <cell r="F383">
            <v>191.76</v>
          </cell>
          <cell r="N383">
            <v>191.76</v>
          </cell>
        </row>
        <row r="384">
          <cell r="E384">
            <v>4</v>
          </cell>
          <cell r="F384">
            <v>263.08999999999997</v>
          </cell>
          <cell r="N384">
            <v>1052.3599999999999</v>
          </cell>
        </row>
        <row r="385">
          <cell r="E385">
            <v>4</v>
          </cell>
          <cell r="F385">
            <v>393.8</v>
          </cell>
          <cell r="N385">
            <v>1575.2</v>
          </cell>
        </row>
        <row r="386">
          <cell r="E386">
            <v>3</v>
          </cell>
          <cell r="F386">
            <v>553.57000000000005</v>
          </cell>
          <cell r="N386">
            <v>1660.71</v>
          </cell>
        </row>
        <row r="387">
          <cell r="E387">
            <v>5</v>
          </cell>
          <cell r="F387">
            <v>191.63</v>
          </cell>
          <cell r="N387">
            <v>958.15</v>
          </cell>
        </row>
        <row r="388">
          <cell r="E388">
            <v>1</v>
          </cell>
          <cell r="F388">
            <v>93.02</v>
          </cell>
          <cell r="N388">
            <v>93.02</v>
          </cell>
        </row>
        <row r="389">
          <cell r="E389">
            <v>2</v>
          </cell>
          <cell r="F389">
            <v>39.53</v>
          </cell>
          <cell r="N389">
            <v>79.06</v>
          </cell>
        </row>
        <row r="390">
          <cell r="E390">
            <v>3</v>
          </cell>
          <cell r="F390">
            <v>633.97</v>
          </cell>
          <cell r="N390">
            <v>1901.91</v>
          </cell>
        </row>
        <row r="391">
          <cell r="E391">
            <v>4</v>
          </cell>
          <cell r="F391">
            <v>697.5</v>
          </cell>
          <cell r="N391">
            <v>2790</v>
          </cell>
        </row>
        <row r="392">
          <cell r="E392">
            <v>5</v>
          </cell>
          <cell r="F392">
            <v>508.69</v>
          </cell>
          <cell r="N392">
            <v>2543.4499999999998</v>
          </cell>
        </row>
        <row r="393">
          <cell r="E393">
            <v>2</v>
          </cell>
          <cell r="F393">
            <v>527.46</v>
          </cell>
          <cell r="N393">
            <v>1054.92</v>
          </cell>
        </row>
        <row r="394">
          <cell r="E394">
            <v>1</v>
          </cell>
          <cell r="F394">
            <v>627.20000000000005</v>
          </cell>
          <cell r="N394">
            <v>627.20000000000005</v>
          </cell>
        </row>
        <row r="395">
          <cell r="E395">
            <v>1</v>
          </cell>
          <cell r="F395">
            <v>75.010000000000005</v>
          </cell>
          <cell r="N395">
            <v>75.010000000000005</v>
          </cell>
        </row>
        <row r="396">
          <cell r="E396">
            <v>5</v>
          </cell>
          <cell r="F396">
            <v>529.54999999999995</v>
          </cell>
          <cell r="N396">
            <v>2647.75</v>
          </cell>
        </row>
        <row r="397">
          <cell r="E397">
            <v>3</v>
          </cell>
          <cell r="F397">
            <v>127.41</v>
          </cell>
          <cell r="N397">
            <v>382.23</v>
          </cell>
        </row>
        <row r="398">
          <cell r="E398">
            <v>5</v>
          </cell>
          <cell r="F398">
            <v>287.13</v>
          </cell>
          <cell r="N398">
            <v>1435.65</v>
          </cell>
        </row>
        <row r="399">
          <cell r="E399">
            <v>1</v>
          </cell>
          <cell r="F399">
            <v>427.06</v>
          </cell>
          <cell r="N399">
            <v>427.06</v>
          </cell>
        </row>
        <row r="400">
          <cell r="E400">
            <v>5</v>
          </cell>
          <cell r="F400">
            <v>53.93</v>
          </cell>
          <cell r="N400">
            <v>269.64999999999998</v>
          </cell>
        </row>
        <row r="401">
          <cell r="E401">
            <v>5</v>
          </cell>
          <cell r="F401">
            <v>423.93</v>
          </cell>
          <cell r="N401">
            <v>2119.65</v>
          </cell>
        </row>
        <row r="402">
          <cell r="E402">
            <v>4</v>
          </cell>
          <cell r="F402">
            <v>160.22</v>
          </cell>
          <cell r="N402">
            <v>640.88</v>
          </cell>
        </row>
        <row r="403">
          <cell r="E403">
            <v>1</v>
          </cell>
          <cell r="F403">
            <v>538.67999999999995</v>
          </cell>
          <cell r="N403">
            <v>538.67999999999995</v>
          </cell>
        </row>
        <row r="404">
          <cell r="E404">
            <v>5</v>
          </cell>
          <cell r="F404">
            <v>337.38</v>
          </cell>
          <cell r="N404">
            <v>1686.9</v>
          </cell>
        </row>
        <row r="405">
          <cell r="E405">
            <v>1</v>
          </cell>
          <cell r="F405">
            <v>620.21</v>
          </cell>
          <cell r="N405">
            <v>620.21</v>
          </cell>
        </row>
        <row r="406">
          <cell r="E406">
            <v>2</v>
          </cell>
          <cell r="F406">
            <v>99.1</v>
          </cell>
          <cell r="N406">
            <v>198.2</v>
          </cell>
        </row>
        <row r="407">
          <cell r="E407">
            <v>4</v>
          </cell>
          <cell r="F407">
            <v>451.97</v>
          </cell>
          <cell r="N407">
            <v>1807.88</v>
          </cell>
        </row>
        <row r="408">
          <cell r="E408">
            <v>4</v>
          </cell>
          <cell r="F408">
            <v>66.099999999999994</v>
          </cell>
          <cell r="N408">
            <v>264.39999999999998</v>
          </cell>
        </row>
        <row r="409">
          <cell r="E409">
            <v>4</v>
          </cell>
          <cell r="F409">
            <v>547.32000000000005</v>
          </cell>
          <cell r="N409">
            <v>2189.2800000000002</v>
          </cell>
        </row>
        <row r="410">
          <cell r="E410">
            <v>3</v>
          </cell>
          <cell r="F410">
            <v>412.53</v>
          </cell>
          <cell r="N410">
            <v>1237.5899999999999</v>
          </cell>
        </row>
        <row r="411">
          <cell r="E411">
            <v>5</v>
          </cell>
          <cell r="F411">
            <v>84.13</v>
          </cell>
          <cell r="N411">
            <v>420.65</v>
          </cell>
        </row>
        <row r="412">
          <cell r="E412">
            <v>2</v>
          </cell>
          <cell r="F412">
            <v>518.23</v>
          </cell>
          <cell r="N412">
            <v>1036.46</v>
          </cell>
        </row>
        <row r="413">
          <cell r="E413">
            <v>2</v>
          </cell>
          <cell r="F413">
            <v>39.51</v>
          </cell>
          <cell r="N413">
            <v>79.02</v>
          </cell>
        </row>
        <row r="414">
          <cell r="E414">
            <v>5</v>
          </cell>
          <cell r="F414">
            <v>133.01</v>
          </cell>
          <cell r="N414">
            <v>665.05</v>
          </cell>
        </row>
        <row r="415">
          <cell r="E415">
            <v>1</v>
          </cell>
          <cell r="F415">
            <v>118.8</v>
          </cell>
          <cell r="N415">
            <v>118.8</v>
          </cell>
        </row>
        <row r="416">
          <cell r="E416">
            <v>2</v>
          </cell>
          <cell r="F416">
            <v>139.57</v>
          </cell>
          <cell r="N416">
            <v>279.14</v>
          </cell>
        </row>
        <row r="417">
          <cell r="E417">
            <v>1</v>
          </cell>
          <cell r="F417">
            <v>184.15</v>
          </cell>
          <cell r="N417">
            <v>184.15</v>
          </cell>
        </row>
        <row r="418">
          <cell r="E418">
            <v>2</v>
          </cell>
          <cell r="F418">
            <v>644.04999999999995</v>
          </cell>
          <cell r="N418">
            <v>1288.0999999999999</v>
          </cell>
        </row>
        <row r="419">
          <cell r="E419">
            <v>5</v>
          </cell>
          <cell r="F419">
            <v>55.41</v>
          </cell>
          <cell r="N419">
            <v>277.05</v>
          </cell>
        </row>
        <row r="420">
          <cell r="E420">
            <v>1</v>
          </cell>
          <cell r="F420">
            <v>310.93</v>
          </cell>
          <cell r="N420">
            <v>310.93</v>
          </cell>
        </row>
        <row r="421">
          <cell r="E421">
            <v>2</v>
          </cell>
          <cell r="F421">
            <v>216.66</v>
          </cell>
          <cell r="N421">
            <v>433.32</v>
          </cell>
        </row>
        <row r="422">
          <cell r="E422">
            <v>1</v>
          </cell>
          <cell r="F422">
            <v>452.7</v>
          </cell>
          <cell r="N422">
            <v>452.7</v>
          </cell>
        </row>
        <row r="423">
          <cell r="E423">
            <v>2</v>
          </cell>
          <cell r="F423">
            <v>288.20999999999998</v>
          </cell>
          <cell r="N423">
            <v>576.41999999999996</v>
          </cell>
        </row>
        <row r="424">
          <cell r="E424">
            <v>4</v>
          </cell>
          <cell r="F424">
            <v>206.6</v>
          </cell>
          <cell r="N424">
            <v>826.4</v>
          </cell>
        </row>
        <row r="425">
          <cell r="E425">
            <v>4</v>
          </cell>
          <cell r="F425">
            <v>685.2</v>
          </cell>
          <cell r="N425">
            <v>2740.8</v>
          </cell>
        </row>
        <row r="426">
          <cell r="E426">
            <v>5</v>
          </cell>
          <cell r="F426">
            <v>22.94</v>
          </cell>
          <cell r="N426">
            <v>114.7</v>
          </cell>
        </row>
        <row r="427">
          <cell r="E427">
            <v>2</v>
          </cell>
          <cell r="F427">
            <v>301.88</v>
          </cell>
          <cell r="N427">
            <v>603.76</v>
          </cell>
        </row>
        <row r="428">
          <cell r="E428">
            <v>5</v>
          </cell>
          <cell r="F428">
            <v>57.45</v>
          </cell>
          <cell r="N428">
            <v>287.25</v>
          </cell>
        </row>
        <row r="429">
          <cell r="E429">
            <v>1</v>
          </cell>
          <cell r="F429">
            <v>161.24</v>
          </cell>
          <cell r="N429">
            <v>161.24</v>
          </cell>
        </row>
        <row r="430">
          <cell r="E430">
            <v>4</v>
          </cell>
          <cell r="F430">
            <v>262.58</v>
          </cell>
          <cell r="N430">
            <v>1050.32</v>
          </cell>
        </row>
        <row r="431">
          <cell r="E431">
            <v>4</v>
          </cell>
          <cell r="F431">
            <v>515.19000000000005</v>
          </cell>
          <cell r="N431">
            <v>2060.7600000000002</v>
          </cell>
        </row>
        <row r="432">
          <cell r="E432">
            <v>1</v>
          </cell>
          <cell r="F432">
            <v>450.07</v>
          </cell>
          <cell r="N432">
            <v>450.07</v>
          </cell>
        </row>
        <row r="433">
          <cell r="E433">
            <v>1</v>
          </cell>
          <cell r="F433">
            <v>52.54</v>
          </cell>
          <cell r="N433">
            <v>52.54</v>
          </cell>
        </row>
        <row r="434">
          <cell r="E434">
            <v>2</v>
          </cell>
          <cell r="F434">
            <v>424.32</v>
          </cell>
          <cell r="N434">
            <v>848.64</v>
          </cell>
        </row>
        <row r="435">
          <cell r="E435">
            <v>3</v>
          </cell>
          <cell r="F435">
            <v>631.64</v>
          </cell>
          <cell r="N435">
            <v>1894.92</v>
          </cell>
        </row>
        <row r="436">
          <cell r="E436">
            <v>5</v>
          </cell>
          <cell r="F436">
            <v>327.68</v>
          </cell>
          <cell r="N436">
            <v>1638.4</v>
          </cell>
        </row>
        <row r="437">
          <cell r="E437">
            <v>1</v>
          </cell>
          <cell r="F437">
            <v>414.47</v>
          </cell>
          <cell r="N437">
            <v>414.47</v>
          </cell>
        </row>
        <row r="438">
          <cell r="E438">
            <v>4</v>
          </cell>
          <cell r="F438">
            <v>221.33</v>
          </cell>
          <cell r="N438">
            <v>885.32</v>
          </cell>
        </row>
        <row r="439">
          <cell r="E439">
            <v>1</v>
          </cell>
          <cell r="F439">
            <v>512.39</v>
          </cell>
          <cell r="N439">
            <v>512.39</v>
          </cell>
        </row>
        <row r="440">
          <cell r="E440">
            <v>3</v>
          </cell>
          <cell r="F440">
            <v>459.34</v>
          </cell>
          <cell r="N440">
            <v>1378.02</v>
          </cell>
        </row>
        <row r="441">
          <cell r="E441">
            <v>1</v>
          </cell>
          <cell r="F441">
            <v>146.32</v>
          </cell>
          <cell r="N441">
            <v>146.32</v>
          </cell>
        </row>
        <row r="442">
          <cell r="E442">
            <v>4</v>
          </cell>
          <cell r="F442">
            <v>83.6</v>
          </cell>
          <cell r="N442">
            <v>334.4</v>
          </cell>
        </row>
        <row r="443">
          <cell r="E443">
            <v>2</v>
          </cell>
          <cell r="F443">
            <v>328.54</v>
          </cell>
          <cell r="N443">
            <v>657.08</v>
          </cell>
        </row>
        <row r="444">
          <cell r="E444">
            <v>5</v>
          </cell>
          <cell r="F444">
            <v>314.94</v>
          </cell>
          <cell r="N444">
            <v>1574.7</v>
          </cell>
        </row>
        <row r="445">
          <cell r="E445">
            <v>2</v>
          </cell>
          <cell r="F445">
            <v>69.64</v>
          </cell>
          <cell r="N445">
            <v>139.28</v>
          </cell>
        </row>
        <row r="446">
          <cell r="E446">
            <v>1</v>
          </cell>
          <cell r="F446">
            <v>135.16999999999999</v>
          </cell>
          <cell r="N446">
            <v>135.16999999999999</v>
          </cell>
        </row>
        <row r="447">
          <cell r="E447">
            <v>1</v>
          </cell>
          <cell r="F447">
            <v>487.21</v>
          </cell>
          <cell r="N447">
            <v>487.21</v>
          </cell>
        </row>
        <row r="448">
          <cell r="E448">
            <v>5</v>
          </cell>
          <cell r="F448">
            <v>509.58</v>
          </cell>
          <cell r="N448">
            <v>2547.9</v>
          </cell>
        </row>
        <row r="449">
          <cell r="E449">
            <v>2</v>
          </cell>
          <cell r="F449">
            <v>416.81</v>
          </cell>
          <cell r="N449">
            <v>833.62</v>
          </cell>
        </row>
        <row r="450">
          <cell r="E450">
            <v>2</v>
          </cell>
          <cell r="F450">
            <v>160</v>
          </cell>
          <cell r="N450">
            <v>320</v>
          </cell>
        </row>
        <row r="451">
          <cell r="E451">
            <v>3</v>
          </cell>
          <cell r="F451">
            <v>253.05</v>
          </cell>
          <cell r="N451">
            <v>759.15000000000009</v>
          </cell>
        </row>
        <row r="452">
          <cell r="E452">
            <v>5</v>
          </cell>
          <cell r="F452">
            <v>615.1</v>
          </cell>
          <cell r="N452">
            <v>3075.5</v>
          </cell>
        </row>
        <row r="453">
          <cell r="E453">
            <v>1</v>
          </cell>
          <cell r="F453">
            <v>183.18</v>
          </cell>
          <cell r="N453">
            <v>183.18</v>
          </cell>
        </row>
        <row r="454">
          <cell r="E454">
            <v>1</v>
          </cell>
          <cell r="F454">
            <v>75.78</v>
          </cell>
          <cell r="N454">
            <v>75.78</v>
          </cell>
        </row>
        <row r="455">
          <cell r="E455">
            <v>1</v>
          </cell>
          <cell r="F455">
            <v>675.57</v>
          </cell>
          <cell r="N455">
            <v>675.57</v>
          </cell>
        </row>
        <row r="456">
          <cell r="E456">
            <v>1</v>
          </cell>
          <cell r="F456">
            <v>109.29</v>
          </cell>
          <cell r="N456">
            <v>109.29</v>
          </cell>
        </row>
        <row r="457">
          <cell r="E457">
            <v>1</v>
          </cell>
          <cell r="F457">
            <v>639.83000000000004</v>
          </cell>
          <cell r="N457">
            <v>639.83000000000004</v>
          </cell>
        </row>
        <row r="458">
          <cell r="E458">
            <v>5</v>
          </cell>
          <cell r="F458">
            <v>62.81</v>
          </cell>
          <cell r="N458">
            <v>314.05</v>
          </cell>
        </row>
        <row r="459">
          <cell r="E459">
            <v>4</v>
          </cell>
          <cell r="F459">
            <v>615.83000000000004</v>
          </cell>
          <cell r="N459">
            <v>2463.3200000000002</v>
          </cell>
        </row>
        <row r="460">
          <cell r="E460">
            <v>4</v>
          </cell>
          <cell r="F460">
            <v>510.58</v>
          </cell>
          <cell r="N460">
            <v>2042.32</v>
          </cell>
        </row>
        <row r="461">
          <cell r="E461">
            <v>1</v>
          </cell>
          <cell r="F461">
            <v>334.39</v>
          </cell>
          <cell r="N461">
            <v>334.39</v>
          </cell>
        </row>
        <row r="462">
          <cell r="E462">
            <v>1</v>
          </cell>
          <cell r="F462">
            <v>144.25</v>
          </cell>
          <cell r="N462">
            <v>144.25</v>
          </cell>
        </row>
        <row r="463">
          <cell r="E463">
            <v>1</v>
          </cell>
          <cell r="F463">
            <v>401.82</v>
          </cell>
          <cell r="N463">
            <v>401.82</v>
          </cell>
        </row>
        <row r="464">
          <cell r="E464">
            <v>1</v>
          </cell>
          <cell r="F464">
            <v>252.68</v>
          </cell>
          <cell r="N464">
            <v>252.68</v>
          </cell>
        </row>
        <row r="465">
          <cell r="E465">
            <v>5</v>
          </cell>
          <cell r="F465">
            <v>662.78</v>
          </cell>
          <cell r="N465">
            <v>3313.9</v>
          </cell>
        </row>
        <row r="466">
          <cell r="E466">
            <v>4</v>
          </cell>
          <cell r="F466">
            <v>434.42</v>
          </cell>
          <cell r="N466">
            <v>1737.68</v>
          </cell>
        </row>
        <row r="467">
          <cell r="E467">
            <v>5</v>
          </cell>
          <cell r="F467">
            <v>513.49</v>
          </cell>
          <cell r="N467">
            <v>2567.4499999999998</v>
          </cell>
        </row>
        <row r="468">
          <cell r="E468">
            <v>1</v>
          </cell>
          <cell r="F468">
            <v>432.47</v>
          </cell>
          <cell r="N468">
            <v>432.47</v>
          </cell>
        </row>
        <row r="469">
          <cell r="E469">
            <v>1</v>
          </cell>
          <cell r="F469">
            <v>45.94</v>
          </cell>
          <cell r="N469">
            <v>45.94</v>
          </cell>
        </row>
        <row r="470">
          <cell r="E470">
            <v>1</v>
          </cell>
          <cell r="F470">
            <v>418.36</v>
          </cell>
          <cell r="N470">
            <v>418.36</v>
          </cell>
        </row>
        <row r="471">
          <cell r="E471">
            <v>5</v>
          </cell>
          <cell r="F471">
            <v>676.98</v>
          </cell>
          <cell r="N471">
            <v>3384.9</v>
          </cell>
        </row>
        <row r="472">
          <cell r="E472">
            <v>4</v>
          </cell>
          <cell r="F472">
            <v>263.62</v>
          </cell>
          <cell r="N472">
            <v>1054.48</v>
          </cell>
        </row>
        <row r="473">
          <cell r="E473">
            <v>5</v>
          </cell>
          <cell r="F473">
            <v>551.27</v>
          </cell>
          <cell r="N473">
            <v>2756.35</v>
          </cell>
        </row>
        <row r="474">
          <cell r="E474">
            <v>3</v>
          </cell>
          <cell r="F474">
            <v>508.12</v>
          </cell>
          <cell r="N474">
            <v>1524.36</v>
          </cell>
        </row>
        <row r="475">
          <cell r="E475">
            <v>2</v>
          </cell>
          <cell r="F475">
            <v>14.93</v>
          </cell>
          <cell r="N475">
            <v>29.86</v>
          </cell>
        </row>
        <row r="476">
          <cell r="E476">
            <v>3</v>
          </cell>
          <cell r="F476">
            <v>229.34</v>
          </cell>
          <cell r="N476">
            <v>688.02</v>
          </cell>
        </row>
        <row r="477">
          <cell r="E477">
            <v>2</v>
          </cell>
          <cell r="F477">
            <v>438.62</v>
          </cell>
          <cell r="N477">
            <v>877.24</v>
          </cell>
        </row>
        <row r="478">
          <cell r="E478">
            <v>2</v>
          </cell>
          <cell r="F478">
            <v>513.59</v>
          </cell>
          <cell r="N478">
            <v>1027.18</v>
          </cell>
        </row>
        <row r="479">
          <cell r="E479">
            <v>2</v>
          </cell>
          <cell r="F479">
            <v>253.74</v>
          </cell>
          <cell r="N479">
            <v>507.48</v>
          </cell>
        </row>
        <row r="480">
          <cell r="E480">
            <v>3</v>
          </cell>
          <cell r="F480">
            <v>62.77</v>
          </cell>
          <cell r="N480">
            <v>188.31</v>
          </cell>
        </row>
        <row r="481">
          <cell r="E481">
            <v>4</v>
          </cell>
          <cell r="F481">
            <v>25.29</v>
          </cell>
          <cell r="N481">
            <v>101.16</v>
          </cell>
        </row>
        <row r="482">
          <cell r="E482">
            <v>1</v>
          </cell>
          <cell r="F482">
            <v>335.1</v>
          </cell>
          <cell r="N482">
            <v>335.1</v>
          </cell>
        </row>
        <row r="483">
          <cell r="E483">
            <v>4</v>
          </cell>
          <cell r="F483">
            <v>484.85</v>
          </cell>
          <cell r="N483">
            <v>1939.4</v>
          </cell>
        </row>
        <row r="484">
          <cell r="E484">
            <v>3</v>
          </cell>
          <cell r="F484">
            <v>381.41</v>
          </cell>
          <cell r="N484">
            <v>1144.23</v>
          </cell>
        </row>
        <row r="485">
          <cell r="E485">
            <v>5</v>
          </cell>
          <cell r="F485">
            <v>347.92</v>
          </cell>
          <cell r="N485">
            <v>1739.6</v>
          </cell>
        </row>
        <row r="486">
          <cell r="E486">
            <v>4</v>
          </cell>
          <cell r="F486">
            <v>15.01</v>
          </cell>
          <cell r="N486">
            <v>60.04</v>
          </cell>
        </row>
        <row r="487">
          <cell r="E487">
            <v>3</v>
          </cell>
          <cell r="F487">
            <v>404.79</v>
          </cell>
          <cell r="N487">
            <v>1214.3699999999999</v>
          </cell>
        </row>
        <row r="488">
          <cell r="E488">
            <v>4</v>
          </cell>
          <cell r="F488">
            <v>611.26</v>
          </cell>
          <cell r="N488">
            <v>2445.04</v>
          </cell>
        </row>
        <row r="489">
          <cell r="E489">
            <v>3</v>
          </cell>
          <cell r="F489">
            <v>346.52</v>
          </cell>
          <cell r="N489">
            <v>1039.56</v>
          </cell>
        </row>
        <row r="490">
          <cell r="E490">
            <v>1</v>
          </cell>
          <cell r="F490">
            <v>36.65</v>
          </cell>
          <cell r="N490">
            <v>36.65</v>
          </cell>
        </row>
        <row r="491">
          <cell r="E491">
            <v>3</v>
          </cell>
          <cell r="F491">
            <v>149.34</v>
          </cell>
          <cell r="N491">
            <v>448.02</v>
          </cell>
        </row>
        <row r="492">
          <cell r="E492">
            <v>5</v>
          </cell>
          <cell r="F492">
            <v>467.81</v>
          </cell>
          <cell r="N492">
            <v>2339.0500000000002</v>
          </cell>
        </row>
        <row r="493">
          <cell r="E493">
            <v>5</v>
          </cell>
          <cell r="F493">
            <v>420.7</v>
          </cell>
          <cell r="N493">
            <v>2103.5</v>
          </cell>
        </row>
        <row r="494">
          <cell r="E494">
            <v>5</v>
          </cell>
          <cell r="F494">
            <v>606.52</v>
          </cell>
          <cell r="N494">
            <v>3032.6</v>
          </cell>
        </row>
        <row r="495">
          <cell r="E495">
            <v>1</v>
          </cell>
          <cell r="F495">
            <v>420.26</v>
          </cell>
          <cell r="N495">
            <v>420.26</v>
          </cell>
        </row>
        <row r="496">
          <cell r="E496">
            <v>3</v>
          </cell>
          <cell r="F496">
            <v>505.79</v>
          </cell>
          <cell r="N496">
            <v>1517.37</v>
          </cell>
        </row>
        <row r="497">
          <cell r="E497">
            <v>4</v>
          </cell>
          <cell r="F497">
            <v>493.73</v>
          </cell>
          <cell r="N497">
            <v>1974.92</v>
          </cell>
        </row>
        <row r="498">
          <cell r="E498">
            <v>3</v>
          </cell>
          <cell r="F498">
            <v>201.21</v>
          </cell>
          <cell r="N498">
            <v>603.63</v>
          </cell>
        </row>
        <row r="499">
          <cell r="E499">
            <v>3</v>
          </cell>
          <cell r="F499">
            <v>112.29</v>
          </cell>
          <cell r="N499">
            <v>336.87</v>
          </cell>
        </row>
        <row r="500">
          <cell r="E500">
            <v>4</v>
          </cell>
          <cell r="F500">
            <v>132.56</v>
          </cell>
          <cell r="N500">
            <v>530.24</v>
          </cell>
        </row>
        <row r="501">
          <cell r="E501">
            <v>3</v>
          </cell>
          <cell r="F501">
            <v>539.46</v>
          </cell>
          <cell r="N501">
            <v>1618.38</v>
          </cell>
        </row>
        <row r="502">
          <cell r="E502">
            <v>5</v>
          </cell>
          <cell r="F502">
            <v>508.59</v>
          </cell>
          <cell r="N502">
            <v>2542.9499999999998</v>
          </cell>
        </row>
        <row r="503">
          <cell r="E503">
            <v>4</v>
          </cell>
          <cell r="F503">
            <v>203.46</v>
          </cell>
          <cell r="N503">
            <v>813.84</v>
          </cell>
        </row>
        <row r="504">
          <cell r="E504">
            <v>3</v>
          </cell>
          <cell r="F504">
            <v>565.25</v>
          </cell>
          <cell r="N504">
            <v>1695.75</v>
          </cell>
        </row>
        <row r="505">
          <cell r="E505">
            <v>3</v>
          </cell>
          <cell r="F505">
            <v>136.84</v>
          </cell>
          <cell r="N505">
            <v>410.52</v>
          </cell>
        </row>
        <row r="506">
          <cell r="E506">
            <v>2</v>
          </cell>
          <cell r="F506">
            <v>464.5</v>
          </cell>
          <cell r="N506">
            <v>929</v>
          </cell>
        </row>
        <row r="507">
          <cell r="E507">
            <v>2</v>
          </cell>
          <cell r="F507">
            <v>434.97</v>
          </cell>
          <cell r="N507">
            <v>869.94</v>
          </cell>
        </row>
        <row r="508">
          <cell r="E508">
            <v>2</v>
          </cell>
          <cell r="F508">
            <v>43.67</v>
          </cell>
          <cell r="N508">
            <v>87.34</v>
          </cell>
        </row>
        <row r="509">
          <cell r="E509">
            <v>1</v>
          </cell>
          <cell r="F509">
            <v>171.59</v>
          </cell>
          <cell r="N509">
            <v>171.59</v>
          </cell>
        </row>
        <row r="510">
          <cell r="E510">
            <v>1</v>
          </cell>
          <cell r="F510">
            <v>558.27</v>
          </cell>
          <cell r="N510">
            <v>558.27</v>
          </cell>
        </row>
        <row r="511">
          <cell r="E511">
            <v>2</v>
          </cell>
          <cell r="F511">
            <v>425.03</v>
          </cell>
          <cell r="N511">
            <v>850.06</v>
          </cell>
        </row>
        <row r="512">
          <cell r="E512">
            <v>1</v>
          </cell>
          <cell r="F512">
            <v>376.76</v>
          </cell>
          <cell r="N512">
            <v>376.76</v>
          </cell>
        </row>
        <row r="513">
          <cell r="E513">
            <v>5</v>
          </cell>
          <cell r="F513">
            <v>575.24</v>
          </cell>
          <cell r="N513">
            <v>2876.2</v>
          </cell>
        </row>
        <row r="514">
          <cell r="E514">
            <v>3</v>
          </cell>
          <cell r="F514">
            <v>568.02</v>
          </cell>
          <cell r="N514">
            <v>1704.06</v>
          </cell>
        </row>
        <row r="515">
          <cell r="E515">
            <v>3</v>
          </cell>
          <cell r="F515">
            <v>94.88</v>
          </cell>
          <cell r="N515">
            <v>284.64</v>
          </cell>
        </row>
        <row r="516">
          <cell r="E516">
            <v>3</v>
          </cell>
          <cell r="F516">
            <v>304.14999999999998</v>
          </cell>
          <cell r="N516">
            <v>912.44999999999993</v>
          </cell>
        </row>
        <row r="517">
          <cell r="E517">
            <v>3</v>
          </cell>
          <cell r="F517">
            <v>553.52</v>
          </cell>
          <cell r="N517">
            <v>1660.56</v>
          </cell>
        </row>
        <row r="518">
          <cell r="E518">
            <v>3</v>
          </cell>
          <cell r="F518">
            <v>166.99</v>
          </cell>
          <cell r="N518">
            <v>500.97</v>
          </cell>
        </row>
        <row r="519">
          <cell r="E519">
            <v>4</v>
          </cell>
          <cell r="F519">
            <v>198.35</v>
          </cell>
          <cell r="N519">
            <v>793.4</v>
          </cell>
        </row>
        <row r="520">
          <cell r="E520">
            <v>4</v>
          </cell>
          <cell r="F520">
            <v>403.58</v>
          </cell>
          <cell r="N520">
            <v>1614.32</v>
          </cell>
        </row>
        <row r="521">
          <cell r="E521">
            <v>4</v>
          </cell>
          <cell r="F521">
            <v>464.29</v>
          </cell>
          <cell r="N521">
            <v>1857.16</v>
          </cell>
        </row>
        <row r="522">
          <cell r="E522">
            <v>3</v>
          </cell>
          <cell r="F522">
            <v>635.98</v>
          </cell>
          <cell r="N522">
            <v>1907.94</v>
          </cell>
        </row>
        <row r="523">
          <cell r="E523">
            <v>1</v>
          </cell>
          <cell r="F523">
            <v>528.05999999999995</v>
          </cell>
          <cell r="N523">
            <v>528.05999999999995</v>
          </cell>
        </row>
        <row r="524">
          <cell r="E524">
            <v>1</v>
          </cell>
          <cell r="F524">
            <v>515.32000000000005</v>
          </cell>
          <cell r="N524">
            <v>515.32000000000005</v>
          </cell>
        </row>
        <row r="525">
          <cell r="E525">
            <v>4</v>
          </cell>
          <cell r="F525">
            <v>657.79</v>
          </cell>
          <cell r="N525">
            <v>2631.16</v>
          </cell>
        </row>
        <row r="526">
          <cell r="E526">
            <v>1</v>
          </cell>
          <cell r="F526">
            <v>153</v>
          </cell>
          <cell r="N526">
            <v>153</v>
          </cell>
        </row>
        <row r="527">
          <cell r="E527">
            <v>1</v>
          </cell>
          <cell r="F527">
            <v>668.48</v>
          </cell>
          <cell r="N527">
            <v>668.48</v>
          </cell>
        </row>
        <row r="528">
          <cell r="E528">
            <v>2</v>
          </cell>
          <cell r="F528">
            <v>46.5</v>
          </cell>
          <cell r="N528">
            <v>93</v>
          </cell>
        </row>
        <row r="529">
          <cell r="E529">
            <v>5</v>
          </cell>
          <cell r="F529">
            <v>653.47</v>
          </cell>
          <cell r="N529">
            <v>3267.35</v>
          </cell>
        </row>
        <row r="530">
          <cell r="E530">
            <v>1</v>
          </cell>
          <cell r="F530">
            <v>628.89</v>
          </cell>
          <cell r="N530">
            <v>628.89</v>
          </cell>
        </row>
        <row r="531">
          <cell r="E531">
            <v>2</v>
          </cell>
          <cell r="F531">
            <v>675.1</v>
          </cell>
          <cell r="N531">
            <v>1350.2</v>
          </cell>
        </row>
        <row r="532">
          <cell r="E532">
            <v>4</v>
          </cell>
          <cell r="F532">
            <v>89.41</v>
          </cell>
          <cell r="N532">
            <v>357.64</v>
          </cell>
        </row>
        <row r="533">
          <cell r="E533">
            <v>5</v>
          </cell>
          <cell r="F533">
            <v>320.01</v>
          </cell>
          <cell r="N533">
            <v>1600.05</v>
          </cell>
        </row>
        <row r="534">
          <cell r="E534">
            <v>2</v>
          </cell>
          <cell r="F534">
            <v>41</v>
          </cell>
          <cell r="N534">
            <v>82</v>
          </cell>
        </row>
        <row r="535">
          <cell r="E535">
            <v>1</v>
          </cell>
          <cell r="F535">
            <v>565.85</v>
          </cell>
          <cell r="N535">
            <v>565.85</v>
          </cell>
        </row>
        <row r="536">
          <cell r="E536">
            <v>3</v>
          </cell>
          <cell r="F536">
            <v>648.59</v>
          </cell>
          <cell r="N536">
            <v>1945.77</v>
          </cell>
        </row>
        <row r="537">
          <cell r="E537">
            <v>3</v>
          </cell>
          <cell r="F537">
            <v>68.12</v>
          </cell>
          <cell r="N537">
            <v>204.36</v>
          </cell>
        </row>
        <row r="538">
          <cell r="E538">
            <v>1</v>
          </cell>
          <cell r="F538">
            <v>616.1</v>
          </cell>
          <cell r="N538">
            <v>616.1</v>
          </cell>
        </row>
        <row r="539">
          <cell r="E539">
            <v>3</v>
          </cell>
          <cell r="F539">
            <v>247.47</v>
          </cell>
          <cell r="N539">
            <v>742.41</v>
          </cell>
        </row>
        <row r="540">
          <cell r="E540">
            <v>3</v>
          </cell>
          <cell r="F540">
            <v>490.74</v>
          </cell>
          <cell r="N540">
            <v>1472.22</v>
          </cell>
        </row>
        <row r="541">
          <cell r="E541">
            <v>3</v>
          </cell>
          <cell r="F541">
            <v>531.72</v>
          </cell>
          <cell r="N541">
            <v>1595.16</v>
          </cell>
        </row>
        <row r="542">
          <cell r="E542">
            <v>5</v>
          </cell>
          <cell r="F542">
            <v>648.65</v>
          </cell>
          <cell r="N542">
            <v>3243.25</v>
          </cell>
        </row>
        <row r="543">
          <cell r="E543">
            <v>5</v>
          </cell>
          <cell r="F543">
            <v>456.06</v>
          </cell>
          <cell r="N543">
            <v>2280.3000000000002</v>
          </cell>
        </row>
        <row r="544">
          <cell r="E544">
            <v>1</v>
          </cell>
          <cell r="F544">
            <v>17.98</v>
          </cell>
          <cell r="N544">
            <v>17.98</v>
          </cell>
        </row>
        <row r="545">
          <cell r="E545">
            <v>5</v>
          </cell>
          <cell r="F545">
            <v>269.86</v>
          </cell>
          <cell r="N545">
            <v>1349.3</v>
          </cell>
        </row>
        <row r="546">
          <cell r="E546">
            <v>5</v>
          </cell>
          <cell r="F546">
            <v>31.96</v>
          </cell>
          <cell r="N546">
            <v>159.80000000000001</v>
          </cell>
        </row>
        <row r="547">
          <cell r="E547">
            <v>2</v>
          </cell>
          <cell r="F547">
            <v>98.47</v>
          </cell>
          <cell r="N547">
            <v>196.94</v>
          </cell>
        </row>
        <row r="548">
          <cell r="E548">
            <v>1</v>
          </cell>
          <cell r="F548">
            <v>158.68</v>
          </cell>
          <cell r="N548">
            <v>158.68</v>
          </cell>
        </row>
        <row r="549">
          <cell r="E549">
            <v>1</v>
          </cell>
          <cell r="F549">
            <v>613.98</v>
          </cell>
          <cell r="N549">
            <v>613.98</v>
          </cell>
        </row>
        <row r="550">
          <cell r="E550">
            <v>3</v>
          </cell>
          <cell r="F550">
            <v>426.12</v>
          </cell>
          <cell r="N550">
            <v>1278.3599999999999</v>
          </cell>
        </row>
        <row r="551">
          <cell r="E551">
            <v>4</v>
          </cell>
          <cell r="F551">
            <v>629.88</v>
          </cell>
          <cell r="N551">
            <v>2519.52</v>
          </cell>
        </row>
        <row r="552">
          <cell r="E552">
            <v>4</v>
          </cell>
          <cell r="F552">
            <v>228.91</v>
          </cell>
          <cell r="N552">
            <v>915.64</v>
          </cell>
        </row>
        <row r="553">
          <cell r="E553">
            <v>1</v>
          </cell>
          <cell r="F553">
            <v>120.98</v>
          </cell>
          <cell r="N553">
            <v>120.98</v>
          </cell>
        </row>
        <row r="554">
          <cell r="E554">
            <v>4</v>
          </cell>
          <cell r="F554">
            <v>425.18</v>
          </cell>
          <cell r="N554">
            <v>1700.72</v>
          </cell>
        </row>
        <row r="555">
          <cell r="E555">
            <v>2</v>
          </cell>
          <cell r="F555">
            <v>333.83</v>
          </cell>
          <cell r="N555">
            <v>667.66</v>
          </cell>
        </row>
        <row r="556">
          <cell r="E556">
            <v>2</v>
          </cell>
          <cell r="F556">
            <v>492.9</v>
          </cell>
          <cell r="N556">
            <v>985.8</v>
          </cell>
        </row>
        <row r="557">
          <cell r="E557">
            <v>1</v>
          </cell>
          <cell r="F557">
            <v>92.04</v>
          </cell>
          <cell r="N557">
            <v>92.04</v>
          </cell>
        </row>
        <row r="558">
          <cell r="E558">
            <v>1</v>
          </cell>
          <cell r="F558">
            <v>654.27</v>
          </cell>
          <cell r="N558">
            <v>654.27</v>
          </cell>
        </row>
        <row r="559">
          <cell r="E559">
            <v>1</v>
          </cell>
          <cell r="F559">
            <v>56.2</v>
          </cell>
          <cell r="N559">
            <v>56.2</v>
          </cell>
        </row>
        <row r="560">
          <cell r="E560">
            <v>4</v>
          </cell>
          <cell r="F560">
            <v>628.12</v>
          </cell>
          <cell r="N560">
            <v>2512.48</v>
          </cell>
        </row>
        <row r="561">
          <cell r="E561">
            <v>3</v>
          </cell>
          <cell r="F561">
            <v>157.4</v>
          </cell>
          <cell r="N561">
            <v>472.2</v>
          </cell>
        </row>
        <row r="562">
          <cell r="E562">
            <v>4</v>
          </cell>
          <cell r="F562">
            <v>588.85</v>
          </cell>
          <cell r="N562">
            <v>2355.4</v>
          </cell>
        </row>
        <row r="563">
          <cell r="E563">
            <v>2</v>
          </cell>
          <cell r="F563">
            <v>494.78</v>
          </cell>
          <cell r="N563">
            <v>989.56</v>
          </cell>
        </row>
        <row r="564">
          <cell r="E564">
            <v>3</v>
          </cell>
          <cell r="F564">
            <v>663.93</v>
          </cell>
          <cell r="N564">
            <v>1991.79</v>
          </cell>
        </row>
        <row r="565">
          <cell r="E565">
            <v>1</v>
          </cell>
          <cell r="F565">
            <v>132.68</v>
          </cell>
          <cell r="N565">
            <v>132.68</v>
          </cell>
        </row>
        <row r="566">
          <cell r="E566">
            <v>5</v>
          </cell>
          <cell r="F566">
            <v>364.28</v>
          </cell>
          <cell r="N566">
            <v>1821.4</v>
          </cell>
        </row>
        <row r="567">
          <cell r="E567">
            <v>5</v>
          </cell>
          <cell r="F567">
            <v>307.98</v>
          </cell>
          <cell r="N567">
            <v>1539.9</v>
          </cell>
        </row>
        <row r="568">
          <cell r="E568">
            <v>4</v>
          </cell>
          <cell r="F568">
            <v>162.71</v>
          </cell>
          <cell r="N568">
            <v>650.84</v>
          </cell>
        </row>
        <row r="569">
          <cell r="E569">
            <v>5</v>
          </cell>
          <cell r="F569">
            <v>492.94</v>
          </cell>
          <cell r="N569">
            <v>2464.6999999999998</v>
          </cell>
        </row>
        <row r="570">
          <cell r="E570">
            <v>2</v>
          </cell>
          <cell r="F570">
            <v>343.99</v>
          </cell>
          <cell r="N570">
            <v>687.98</v>
          </cell>
        </row>
        <row r="571">
          <cell r="E571">
            <v>5</v>
          </cell>
          <cell r="F571">
            <v>250.68</v>
          </cell>
          <cell r="N571">
            <v>1253.4000000000001</v>
          </cell>
        </row>
        <row r="572">
          <cell r="E572">
            <v>2</v>
          </cell>
          <cell r="F572">
            <v>362.14</v>
          </cell>
          <cell r="N572">
            <v>724.28</v>
          </cell>
        </row>
        <row r="573">
          <cell r="E573">
            <v>1</v>
          </cell>
          <cell r="F573">
            <v>214.08</v>
          </cell>
          <cell r="N573">
            <v>214.08</v>
          </cell>
        </row>
        <row r="574">
          <cell r="E574">
            <v>1</v>
          </cell>
          <cell r="F574">
            <v>70.319999999999993</v>
          </cell>
          <cell r="N574">
            <v>70.319999999999993</v>
          </cell>
        </row>
        <row r="575">
          <cell r="E575">
            <v>5</v>
          </cell>
          <cell r="F575">
            <v>421.42</v>
          </cell>
          <cell r="N575">
            <v>2107.1</v>
          </cell>
        </row>
        <row r="576">
          <cell r="E576">
            <v>5</v>
          </cell>
          <cell r="F576">
            <v>384.69</v>
          </cell>
          <cell r="N576">
            <v>1923.45</v>
          </cell>
        </row>
        <row r="577">
          <cell r="E577">
            <v>5</v>
          </cell>
          <cell r="F577">
            <v>448.15</v>
          </cell>
          <cell r="N577">
            <v>2240.75</v>
          </cell>
        </row>
        <row r="578">
          <cell r="E578">
            <v>5</v>
          </cell>
          <cell r="F578">
            <v>79.08</v>
          </cell>
          <cell r="N578">
            <v>395.4</v>
          </cell>
        </row>
        <row r="579">
          <cell r="E579">
            <v>4</v>
          </cell>
          <cell r="F579">
            <v>185.41</v>
          </cell>
          <cell r="N579">
            <v>741.64</v>
          </cell>
        </row>
        <row r="580">
          <cell r="E580">
            <v>5</v>
          </cell>
          <cell r="F580">
            <v>566.07000000000005</v>
          </cell>
          <cell r="N580">
            <v>2830.35</v>
          </cell>
        </row>
        <row r="581">
          <cell r="E581">
            <v>2</v>
          </cell>
          <cell r="F581">
            <v>187.88</v>
          </cell>
          <cell r="N581">
            <v>375.76</v>
          </cell>
        </row>
        <row r="582">
          <cell r="E582">
            <v>2</v>
          </cell>
          <cell r="F582">
            <v>255.99</v>
          </cell>
          <cell r="N582">
            <v>511.98</v>
          </cell>
        </row>
        <row r="583">
          <cell r="E583">
            <v>1</v>
          </cell>
          <cell r="F583">
            <v>627.34</v>
          </cell>
          <cell r="N583">
            <v>627.34</v>
          </cell>
        </row>
        <row r="584">
          <cell r="E584">
            <v>3</v>
          </cell>
          <cell r="F584">
            <v>474.14</v>
          </cell>
          <cell r="N584">
            <v>1422.42</v>
          </cell>
        </row>
        <row r="585">
          <cell r="E585">
            <v>3</v>
          </cell>
          <cell r="F585">
            <v>154.37</v>
          </cell>
          <cell r="N585">
            <v>463.11</v>
          </cell>
        </row>
        <row r="586">
          <cell r="E586">
            <v>4</v>
          </cell>
          <cell r="F586">
            <v>145.05000000000001</v>
          </cell>
          <cell r="N586">
            <v>580.20000000000005</v>
          </cell>
        </row>
        <row r="587">
          <cell r="E587">
            <v>4</v>
          </cell>
          <cell r="F587">
            <v>67.08</v>
          </cell>
          <cell r="N587">
            <v>268.32</v>
          </cell>
        </row>
        <row r="588">
          <cell r="E588">
            <v>1</v>
          </cell>
          <cell r="F588">
            <v>522.08000000000004</v>
          </cell>
          <cell r="N588">
            <v>522.08000000000004</v>
          </cell>
        </row>
        <row r="589">
          <cell r="E589">
            <v>5</v>
          </cell>
          <cell r="F589">
            <v>514.6</v>
          </cell>
          <cell r="N589">
            <v>2573</v>
          </cell>
        </row>
        <row r="590">
          <cell r="E590">
            <v>4</v>
          </cell>
          <cell r="F590">
            <v>577.82000000000005</v>
          </cell>
          <cell r="N590">
            <v>2311.2800000000002</v>
          </cell>
        </row>
        <row r="591">
          <cell r="E591">
            <v>2</v>
          </cell>
          <cell r="F591">
            <v>500.8</v>
          </cell>
          <cell r="N591">
            <v>1001.6</v>
          </cell>
        </row>
        <row r="592">
          <cell r="E592">
            <v>2</v>
          </cell>
          <cell r="F592">
            <v>461.13</v>
          </cell>
          <cell r="N592">
            <v>922.26</v>
          </cell>
        </row>
        <row r="593">
          <cell r="E593">
            <v>1</v>
          </cell>
          <cell r="F593">
            <v>605.28</v>
          </cell>
          <cell r="N593">
            <v>605.28</v>
          </cell>
        </row>
        <row r="594">
          <cell r="E594">
            <v>3</v>
          </cell>
          <cell r="F594">
            <v>204.27</v>
          </cell>
          <cell r="N594">
            <v>612.81000000000006</v>
          </cell>
        </row>
        <row r="595">
          <cell r="E595">
            <v>1</v>
          </cell>
          <cell r="F595">
            <v>489.8</v>
          </cell>
          <cell r="N595">
            <v>489.8</v>
          </cell>
        </row>
        <row r="596">
          <cell r="E596">
            <v>5</v>
          </cell>
          <cell r="F596">
            <v>72.64</v>
          </cell>
          <cell r="N596">
            <v>363.2</v>
          </cell>
        </row>
        <row r="597">
          <cell r="E597">
            <v>2</v>
          </cell>
          <cell r="F597">
            <v>385.16</v>
          </cell>
          <cell r="N597">
            <v>770.32</v>
          </cell>
        </row>
        <row r="598">
          <cell r="E598">
            <v>3</v>
          </cell>
          <cell r="F598">
            <v>606.41</v>
          </cell>
          <cell r="N598">
            <v>1819.23</v>
          </cell>
        </row>
        <row r="599">
          <cell r="E599">
            <v>2</v>
          </cell>
          <cell r="F599">
            <v>211.82</v>
          </cell>
          <cell r="N599">
            <v>423.64</v>
          </cell>
        </row>
        <row r="600">
          <cell r="E600">
            <v>5</v>
          </cell>
          <cell r="F600">
            <v>495.35</v>
          </cell>
          <cell r="N600">
            <v>2476.75</v>
          </cell>
        </row>
        <row r="601">
          <cell r="E601">
            <v>3</v>
          </cell>
          <cell r="F601">
            <v>556.99</v>
          </cell>
          <cell r="N601">
            <v>1670.97</v>
          </cell>
        </row>
        <row r="602">
          <cell r="E602">
            <v>1</v>
          </cell>
          <cell r="F602">
            <v>72.31</v>
          </cell>
          <cell r="N602">
            <v>72.31</v>
          </cell>
        </row>
        <row r="603">
          <cell r="E603">
            <v>5</v>
          </cell>
          <cell r="F603">
            <v>24.82</v>
          </cell>
          <cell r="N603">
            <v>124.1</v>
          </cell>
        </row>
        <row r="604">
          <cell r="E604">
            <v>4</v>
          </cell>
          <cell r="F604">
            <v>26.04</v>
          </cell>
          <cell r="N604">
            <v>104.16</v>
          </cell>
        </row>
        <row r="605">
          <cell r="E605">
            <v>1</v>
          </cell>
          <cell r="F605">
            <v>657.07</v>
          </cell>
          <cell r="N605">
            <v>657.07</v>
          </cell>
        </row>
        <row r="606">
          <cell r="E606">
            <v>3</v>
          </cell>
          <cell r="F606">
            <v>32.619999999999997</v>
          </cell>
          <cell r="N606">
            <v>97.859999999999985</v>
          </cell>
        </row>
        <row r="607">
          <cell r="E607">
            <v>2</v>
          </cell>
          <cell r="F607">
            <v>228.91</v>
          </cell>
          <cell r="N607">
            <v>457.82</v>
          </cell>
        </row>
        <row r="608">
          <cell r="E608">
            <v>3</v>
          </cell>
          <cell r="F608">
            <v>274.75</v>
          </cell>
          <cell r="N608">
            <v>824.25</v>
          </cell>
        </row>
        <row r="609">
          <cell r="E609">
            <v>4</v>
          </cell>
          <cell r="F609">
            <v>634.04999999999995</v>
          </cell>
          <cell r="N609">
            <v>2536.1999999999998</v>
          </cell>
        </row>
        <row r="610">
          <cell r="E610">
            <v>5</v>
          </cell>
          <cell r="F610">
            <v>543.16</v>
          </cell>
          <cell r="N610">
            <v>2715.8</v>
          </cell>
        </row>
        <row r="611">
          <cell r="E611">
            <v>3</v>
          </cell>
          <cell r="F611">
            <v>449.13</v>
          </cell>
          <cell r="N611">
            <v>1347.39</v>
          </cell>
        </row>
        <row r="612">
          <cell r="E612">
            <v>5</v>
          </cell>
          <cell r="F612">
            <v>389.62</v>
          </cell>
          <cell r="N612">
            <v>1948.1</v>
          </cell>
        </row>
        <row r="613">
          <cell r="E613">
            <v>1</v>
          </cell>
          <cell r="F613">
            <v>305.17</v>
          </cell>
          <cell r="N613">
            <v>305.17</v>
          </cell>
        </row>
        <row r="614">
          <cell r="E614">
            <v>3</v>
          </cell>
          <cell r="F614">
            <v>445.12</v>
          </cell>
          <cell r="N614">
            <v>1335.36</v>
          </cell>
        </row>
        <row r="615">
          <cell r="E615">
            <v>2</v>
          </cell>
          <cell r="F615">
            <v>230.36</v>
          </cell>
          <cell r="N615">
            <v>460.72</v>
          </cell>
        </row>
        <row r="616">
          <cell r="E616">
            <v>1</v>
          </cell>
          <cell r="F616">
            <v>96.81</v>
          </cell>
          <cell r="N616">
            <v>96.81</v>
          </cell>
        </row>
        <row r="617">
          <cell r="E617">
            <v>5</v>
          </cell>
          <cell r="F617">
            <v>460.14</v>
          </cell>
          <cell r="N617">
            <v>2300.6999999999998</v>
          </cell>
        </row>
        <row r="618">
          <cell r="E618">
            <v>3</v>
          </cell>
          <cell r="F618">
            <v>601.6</v>
          </cell>
          <cell r="N618">
            <v>1804.8</v>
          </cell>
        </row>
        <row r="619">
          <cell r="E619">
            <v>3</v>
          </cell>
          <cell r="F619">
            <v>184.47</v>
          </cell>
          <cell r="N619">
            <v>553.41</v>
          </cell>
        </row>
        <row r="620">
          <cell r="E620">
            <v>1</v>
          </cell>
          <cell r="F620">
            <v>411.34</v>
          </cell>
          <cell r="N620">
            <v>411.34</v>
          </cell>
        </row>
        <row r="621">
          <cell r="E621">
            <v>1</v>
          </cell>
          <cell r="F621">
            <v>532.89</v>
          </cell>
          <cell r="N621">
            <v>532.89</v>
          </cell>
        </row>
        <row r="622">
          <cell r="E622">
            <v>3</v>
          </cell>
          <cell r="F622">
            <v>136.34</v>
          </cell>
          <cell r="N622">
            <v>409.02</v>
          </cell>
        </row>
        <row r="623">
          <cell r="E623">
            <v>5</v>
          </cell>
          <cell r="F623">
            <v>476.01</v>
          </cell>
          <cell r="N623">
            <v>2380.0500000000002</v>
          </cell>
        </row>
        <row r="624">
          <cell r="E624">
            <v>5</v>
          </cell>
          <cell r="F624">
            <v>236.38</v>
          </cell>
          <cell r="N624">
            <v>1181.9000000000001</v>
          </cell>
        </row>
        <row r="625">
          <cell r="E625">
            <v>3</v>
          </cell>
          <cell r="F625">
            <v>396</v>
          </cell>
          <cell r="N625">
            <v>1188</v>
          </cell>
        </row>
        <row r="626">
          <cell r="E626">
            <v>5</v>
          </cell>
          <cell r="F626">
            <v>341.96</v>
          </cell>
          <cell r="N626">
            <v>1709.8</v>
          </cell>
        </row>
        <row r="627">
          <cell r="E627">
            <v>1</v>
          </cell>
          <cell r="F627">
            <v>672.89</v>
          </cell>
          <cell r="N627">
            <v>672.89</v>
          </cell>
        </row>
        <row r="628">
          <cell r="E628">
            <v>2</v>
          </cell>
          <cell r="F628">
            <v>657.48</v>
          </cell>
          <cell r="N628">
            <v>1314.96</v>
          </cell>
        </row>
        <row r="629">
          <cell r="E629">
            <v>3</v>
          </cell>
          <cell r="F629">
            <v>498.68</v>
          </cell>
          <cell r="N629">
            <v>1496.04</v>
          </cell>
        </row>
        <row r="630">
          <cell r="E630">
            <v>5</v>
          </cell>
          <cell r="F630">
            <v>558.63</v>
          </cell>
          <cell r="N630">
            <v>2793.15</v>
          </cell>
        </row>
        <row r="631">
          <cell r="E631">
            <v>3</v>
          </cell>
          <cell r="F631">
            <v>19.73</v>
          </cell>
          <cell r="N631">
            <v>59.19</v>
          </cell>
        </row>
        <row r="632">
          <cell r="E632">
            <v>5</v>
          </cell>
          <cell r="F632">
            <v>248.84</v>
          </cell>
          <cell r="N632">
            <v>1244.2</v>
          </cell>
        </row>
        <row r="633">
          <cell r="E633">
            <v>3</v>
          </cell>
          <cell r="F633">
            <v>46.11</v>
          </cell>
          <cell r="N633">
            <v>138.33000000000001</v>
          </cell>
        </row>
        <row r="634">
          <cell r="E634">
            <v>5</v>
          </cell>
          <cell r="F634">
            <v>678.16</v>
          </cell>
          <cell r="N634">
            <v>3390.8</v>
          </cell>
        </row>
        <row r="635">
          <cell r="E635">
            <v>5</v>
          </cell>
          <cell r="F635">
            <v>601.72</v>
          </cell>
          <cell r="N635">
            <v>3008.6</v>
          </cell>
        </row>
        <row r="636">
          <cell r="E636">
            <v>2</v>
          </cell>
          <cell r="F636">
            <v>259.32</v>
          </cell>
          <cell r="N636">
            <v>518.64</v>
          </cell>
        </row>
        <row r="637">
          <cell r="E637">
            <v>3</v>
          </cell>
          <cell r="F637">
            <v>63.68</v>
          </cell>
          <cell r="N637">
            <v>191.04</v>
          </cell>
        </row>
        <row r="638">
          <cell r="E638">
            <v>4</v>
          </cell>
          <cell r="F638">
            <v>371.07</v>
          </cell>
          <cell r="N638">
            <v>1484.28</v>
          </cell>
        </row>
        <row r="639">
          <cell r="E639">
            <v>4</v>
          </cell>
          <cell r="F639">
            <v>306.35000000000002</v>
          </cell>
          <cell r="N639">
            <v>1225.4000000000001</v>
          </cell>
        </row>
        <row r="640">
          <cell r="E640">
            <v>4</v>
          </cell>
          <cell r="F640">
            <v>578.27</v>
          </cell>
          <cell r="N640">
            <v>2313.08</v>
          </cell>
        </row>
        <row r="641">
          <cell r="E641">
            <v>1</v>
          </cell>
          <cell r="F641">
            <v>529.19000000000005</v>
          </cell>
          <cell r="N641">
            <v>529.19000000000005</v>
          </cell>
        </row>
        <row r="642">
          <cell r="E642">
            <v>2</v>
          </cell>
          <cell r="F642">
            <v>587.49</v>
          </cell>
          <cell r="N642">
            <v>1174.98</v>
          </cell>
        </row>
        <row r="643">
          <cell r="E643">
            <v>4</v>
          </cell>
          <cell r="F643">
            <v>567.57000000000005</v>
          </cell>
          <cell r="N643">
            <v>2270.2800000000002</v>
          </cell>
        </row>
        <row r="644">
          <cell r="E644">
            <v>5</v>
          </cell>
          <cell r="F644">
            <v>85.22</v>
          </cell>
          <cell r="N644">
            <v>426.1</v>
          </cell>
        </row>
        <row r="645">
          <cell r="E645">
            <v>1</v>
          </cell>
          <cell r="F645">
            <v>438.37</v>
          </cell>
          <cell r="N645">
            <v>438.37</v>
          </cell>
        </row>
        <row r="646">
          <cell r="E646">
            <v>2</v>
          </cell>
          <cell r="F646">
            <v>366.23</v>
          </cell>
          <cell r="N646">
            <v>732.46</v>
          </cell>
        </row>
        <row r="647">
          <cell r="E647">
            <v>2</v>
          </cell>
          <cell r="F647">
            <v>150.05000000000001</v>
          </cell>
          <cell r="N647">
            <v>300.10000000000002</v>
          </cell>
        </row>
        <row r="648">
          <cell r="E648">
            <v>4</v>
          </cell>
          <cell r="F648">
            <v>498.51</v>
          </cell>
          <cell r="N648">
            <v>1994.04</v>
          </cell>
        </row>
        <row r="649">
          <cell r="E649">
            <v>3</v>
          </cell>
          <cell r="F649">
            <v>339.39</v>
          </cell>
          <cell r="N649">
            <v>1018.17</v>
          </cell>
        </row>
        <row r="650">
          <cell r="E650">
            <v>2</v>
          </cell>
          <cell r="F650">
            <v>575.83000000000004</v>
          </cell>
          <cell r="N650">
            <v>1151.6600000000001</v>
          </cell>
        </row>
        <row r="651">
          <cell r="E651">
            <v>2</v>
          </cell>
          <cell r="F651">
            <v>642.98</v>
          </cell>
          <cell r="N651">
            <v>1285.96</v>
          </cell>
        </row>
        <row r="652">
          <cell r="E652">
            <v>2</v>
          </cell>
          <cell r="F652">
            <v>372.23</v>
          </cell>
          <cell r="N652">
            <v>744.46</v>
          </cell>
        </row>
        <row r="653">
          <cell r="E653">
            <v>3</v>
          </cell>
          <cell r="F653">
            <v>646.34</v>
          </cell>
          <cell r="N653">
            <v>1939.02</v>
          </cell>
        </row>
        <row r="654">
          <cell r="E654">
            <v>5</v>
          </cell>
          <cell r="F654">
            <v>341.84</v>
          </cell>
          <cell r="N654">
            <v>1709.2</v>
          </cell>
        </row>
        <row r="655">
          <cell r="E655">
            <v>3</v>
          </cell>
          <cell r="F655">
            <v>690.3</v>
          </cell>
          <cell r="N655">
            <v>2070.9</v>
          </cell>
        </row>
        <row r="656">
          <cell r="E656">
            <v>3</v>
          </cell>
          <cell r="F656">
            <v>382.37</v>
          </cell>
          <cell r="N656">
            <v>1147.1099999999999</v>
          </cell>
        </row>
        <row r="657">
          <cell r="E657">
            <v>2</v>
          </cell>
          <cell r="F657">
            <v>132.6</v>
          </cell>
          <cell r="N657">
            <v>265.2</v>
          </cell>
        </row>
        <row r="658">
          <cell r="E658">
            <v>2</v>
          </cell>
          <cell r="F658">
            <v>189.06</v>
          </cell>
          <cell r="N658">
            <v>378.12</v>
          </cell>
        </row>
        <row r="659">
          <cell r="E659">
            <v>4</v>
          </cell>
          <cell r="F659">
            <v>87.79</v>
          </cell>
          <cell r="N659">
            <v>351.16</v>
          </cell>
        </row>
        <row r="660">
          <cell r="E660">
            <v>2</v>
          </cell>
          <cell r="F660">
            <v>46.36</v>
          </cell>
          <cell r="N660">
            <v>92.72</v>
          </cell>
        </row>
        <row r="661">
          <cell r="E661">
            <v>2</v>
          </cell>
          <cell r="F661">
            <v>642.04</v>
          </cell>
          <cell r="N661">
            <v>1284.08</v>
          </cell>
        </row>
        <row r="662">
          <cell r="E662">
            <v>2</v>
          </cell>
          <cell r="F662">
            <v>651.57000000000005</v>
          </cell>
          <cell r="N662">
            <v>1303.1400000000001</v>
          </cell>
        </row>
        <row r="663">
          <cell r="E663">
            <v>3</v>
          </cell>
          <cell r="F663">
            <v>424.89</v>
          </cell>
          <cell r="N663">
            <v>1274.67</v>
          </cell>
        </row>
        <row r="664">
          <cell r="E664">
            <v>3</v>
          </cell>
          <cell r="F664">
            <v>438.89</v>
          </cell>
          <cell r="N664">
            <v>1316.67</v>
          </cell>
        </row>
        <row r="665">
          <cell r="E665">
            <v>1</v>
          </cell>
          <cell r="F665">
            <v>72.599999999999994</v>
          </cell>
          <cell r="N665">
            <v>72.599999999999994</v>
          </cell>
        </row>
        <row r="666">
          <cell r="E666">
            <v>4</v>
          </cell>
          <cell r="F666">
            <v>194.75</v>
          </cell>
          <cell r="N666">
            <v>779</v>
          </cell>
        </row>
        <row r="667">
          <cell r="E667">
            <v>4</v>
          </cell>
          <cell r="F667">
            <v>231.26</v>
          </cell>
          <cell r="N667">
            <v>925.04</v>
          </cell>
        </row>
        <row r="668">
          <cell r="E668">
            <v>4</v>
          </cell>
          <cell r="F668">
            <v>327.12</v>
          </cell>
          <cell r="N668">
            <v>1308.48</v>
          </cell>
        </row>
        <row r="669">
          <cell r="E669">
            <v>1</v>
          </cell>
          <cell r="F669">
            <v>466.42</v>
          </cell>
          <cell r="N669">
            <v>466.42</v>
          </cell>
        </row>
        <row r="670">
          <cell r="E670">
            <v>2</v>
          </cell>
          <cell r="F670">
            <v>253.67</v>
          </cell>
          <cell r="N670">
            <v>507.34</v>
          </cell>
        </row>
        <row r="671">
          <cell r="E671">
            <v>1</v>
          </cell>
          <cell r="F671">
            <v>257</v>
          </cell>
          <cell r="N671">
            <v>257</v>
          </cell>
        </row>
        <row r="672">
          <cell r="E672">
            <v>4</v>
          </cell>
          <cell r="F672">
            <v>539.20000000000005</v>
          </cell>
          <cell r="N672">
            <v>2156.8000000000002</v>
          </cell>
        </row>
        <row r="673">
          <cell r="E673">
            <v>5</v>
          </cell>
          <cell r="F673">
            <v>50.74</v>
          </cell>
          <cell r="N673">
            <v>253.7</v>
          </cell>
        </row>
        <row r="674">
          <cell r="E674">
            <v>2</v>
          </cell>
          <cell r="F674">
            <v>624.16</v>
          </cell>
          <cell r="N674">
            <v>1248.32</v>
          </cell>
        </row>
        <row r="675">
          <cell r="E675">
            <v>2</v>
          </cell>
          <cell r="F675">
            <v>372.92</v>
          </cell>
          <cell r="N675">
            <v>745.84</v>
          </cell>
        </row>
        <row r="676">
          <cell r="E676">
            <v>4</v>
          </cell>
          <cell r="F676">
            <v>358.75</v>
          </cell>
          <cell r="N676">
            <v>1435</v>
          </cell>
        </row>
        <row r="677">
          <cell r="E677">
            <v>3</v>
          </cell>
          <cell r="F677">
            <v>342.02</v>
          </cell>
          <cell r="N677">
            <v>1026.06</v>
          </cell>
        </row>
        <row r="678">
          <cell r="E678">
            <v>2</v>
          </cell>
          <cell r="F678">
            <v>422.34</v>
          </cell>
          <cell r="N678">
            <v>844.68</v>
          </cell>
        </row>
        <row r="679">
          <cell r="E679">
            <v>5</v>
          </cell>
          <cell r="F679">
            <v>22.07</v>
          </cell>
          <cell r="N679">
            <v>110.35</v>
          </cell>
        </row>
        <row r="680">
          <cell r="E680">
            <v>3</v>
          </cell>
          <cell r="F680">
            <v>163.13</v>
          </cell>
          <cell r="N680">
            <v>489.39</v>
          </cell>
        </row>
        <row r="681">
          <cell r="E681">
            <v>3</v>
          </cell>
          <cell r="F681">
            <v>360.66</v>
          </cell>
          <cell r="N681">
            <v>1081.98</v>
          </cell>
        </row>
        <row r="682">
          <cell r="E682">
            <v>3</v>
          </cell>
          <cell r="F682">
            <v>463.39</v>
          </cell>
          <cell r="N682">
            <v>1390.17</v>
          </cell>
        </row>
        <row r="683">
          <cell r="E683">
            <v>1</v>
          </cell>
          <cell r="F683">
            <v>155.27000000000001</v>
          </cell>
          <cell r="N683">
            <v>155.27000000000001</v>
          </cell>
        </row>
        <row r="684">
          <cell r="E684">
            <v>3</v>
          </cell>
          <cell r="F684">
            <v>509.42</v>
          </cell>
          <cell r="N684">
            <v>1528.26</v>
          </cell>
        </row>
        <row r="685">
          <cell r="E685">
            <v>4</v>
          </cell>
          <cell r="F685">
            <v>652.48</v>
          </cell>
          <cell r="N685">
            <v>2609.92</v>
          </cell>
        </row>
        <row r="686">
          <cell r="E686">
            <v>4</v>
          </cell>
          <cell r="F686">
            <v>34.840000000000003</v>
          </cell>
          <cell r="N686">
            <v>139.36000000000001</v>
          </cell>
        </row>
        <row r="687">
          <cell r="E687">
            <v>1</v>
          </cell>
          <cell r="F687">
            <v>234.37</v>
          </cell>
          <cell r="N687">
            <v>234.37</v>
          </cell>
        </row>
        <row r="688">
          <cell r="E688">
            <v>3</v>
          </cell>
          <cell r="F688">
            <v>53.6</v>
          </cell>
          <cell r="N688">
            <v>160.80000000000001</v>
          </cell>
        </row>
        <row r="689">
          <cell r="E689">
            <v>1</v>
          </cell>
          <cell r="F689">
            <v>332.09</v>
          </cell>
          <cell r="N689">
            <v>332.09</v>
          </cell>
        </row>
        <row r="690">
          <cell r="E690">
            <v>4</v>
          </cell>
          <cell r="F690">
            <v>593.22</v>
          </cell>
          <cell r="N690">
            <v>2372.88</v>
          </cell>
        </row>
        <row r="691">
          <cell r="E691">
            <v>2</v>
          </cell>
          <cell r="F691">
            <v>444.84</v>
          </cell>
          <cell r="N691">
            <v>889.68</v>
          </cell>
        </row>
        <row r="692">
          <cell r="E692">
            <v>1</v>
          </cell>
          <cell r="F692">
            <v>24.48</v>
          </cell>
          <cell r="N692">
            <v>24.48</v>
          </cell>
        </row>
        <row r="693">
          <cell r="E693">
            <v>3</v>
          </cell>
          <cell r="F693">
            <v>239.08</v>
          </cell>
          <cell r="N693">
            <v>717.24</v>
          </cell>
        </row>
        <row r="694">
          <cell r="E694">
            <v>5</v>
          </cell>
          <cell r="F694">
            <v>196.84</v>
          </cell>
          <cell r="N694">
            <v>984.2</v>
          </cell>
        </row>
        <row r="695">
          <cell r="E695">
            <v>1</v>
          </cell>
          <cell r="F695">
            <v>176.58</v>
          </cell>
          <cell r="N695">
            <v>176.58</v>
          </cell>
        </row>
        <row r="696">
          <cell r="E696">
            <v>4</v>
          </cell>
          <cell r="F696">
            <v>666.52</v>
          </cell>
          <cell r="N696">
            <v>2666.08</v>
          </cell>
        </row>
        <row r="697">
          <cell r="E697">
            <v>5</v>
          </cell>
          <cell r="F697">
            <v>101.3</v>
          </cell>
          <cell r="N697">
            <v>506.5</v>
          </cell>
        </row>
        <row r="698">
          <cell r="E698">
            <v>4</v>
          </cell>
          <cell r="F698">
            <v>151.19999999999999</v>
          </cell>
          <cell r="N698">
            <v>604.79999999999995</v>
          </cell>
        </row>
        <row r="699">
          <cell r="E699">
            <v>5</v>
          </cell>
          <cell r="F699">
            <v>94.85</v>
          </cell>
          <cell r="N699">
            <v>474.25</v>
          </cell>
        </row>
        <row r="700">
          <cell r="E700">
            <v>2</v>
          </cell>
          <cell r="F700">
            <v>388.22</v>
          </cell>
          <cell r="N700">
            <v>776.44</v>
          </cell>
        </row>
        <row r="701">
          <cell r="E701">
            <v>3</v>
          </cell>
          <cell r="F701">
            <v>614.15</v>
          </cell>
          <cell r="N701">
            <v>1842.45</v>
          </cell>
        </row>
        <row r="702">
          <cell r="E702">
            <v>2</v>
          </cell>
          <cell r="F702">
            <v>92.91</v>
          </cell>
          <cell r="N702">
            <v>185.82</v>
          </cell>
        </row>
        <row r="703">
          <cell r="E703">
            <v>3</v>
          </cell>
          <cell r="F703">
            <v>92.22</v>
          </cell>
          <cell r="N703">
            <v>276.66000000000003</v>
          </cell>
        </row>
        <row r="704">
          <cell r="E704">
            <v>3</v>
          </cell>
          <cell r="F704">
            <v>562.54999999999995</v>
          </cell>
          <cell r="N704">
            <v>1687.65</v>
          </cell>
        </row>
        <row r="705">
          <cell r="E705">
            <v>1</v>
          </cell>
          <cell r="F705">
            <v>92.79</v>
          </cell>
          <cell r="N705">
            <v>92.79</v>
          </cell>
        </row>
        <row r="706">
          <cell r="E706">
            <v>4</v>
          </cell>
          <cell r="F706">
            <v>30.27</v>
          </cell>
          <cell r="N706">
            <v>121.08</v>
          </cell>
        </row>
        <row r="707">
          <cell r="E707">
            <v>2</v>
          </cell>
          <cell r="F707">
            <v>49.08</v>
          </cell>
          <cell r="N707">
            <v>98.16</v>
          </cell>
        </row>
        <row r="708">
          <cell r="E708">
            <v>5</v>
          </cell>
          <cell r="F708">
            <v>228.09</v>
          </cell>
          <cell r="N708">
            <v>1140.45</v>
          </cell>
        </row>
        <row r="709">
          <cell r="E709">
            <v>4</v>
          </cell>
          <cell r="F709">
            <v>650.04</v>
          </cell>
          <cell r="N709">
            <v>2600.16</v>
          </cell>
        </row>
        <row r="710">
          <cell r="E710">
            <v>1</v>
          </cell>
          <cell r="F710">
            <v>665.11</v>
          </cell>
          <cell r="N710">
            <v>665.11</v>
          </cell>
        </row>
        <row r="711">
          <cell r="E711">
            <v>1</v>
          </cell>
          <cell r="F711">
            <v>386.03</v>
          </cell>
          <cell r="N711">
            <v>386.03</v>
          </cell>
        </row>
        <row r="712">
          <cell r="E712">
            <v>5</v>
          </cell>
          <cell r="F712">
            <v>21.54</v>
          </cell>
          <cell r="N712">
            <v>107.7</v>
          </cell>
        </row>
        <row r="713">
          <cell r="E713">
            <v>2</v>
          </cell>
          <cell r="F713">
            <v>475.78</v>
          </cell>
          <cell r="N713">
            <v>951.56</v>
          </cell>
        </row>
        <row r="714">
          <cell r="E714">
            <v>2</v>
          </cell>
          <cell r="F714">
            <v>68.400000000000006</v>
          </cell>
          <cell r="N714">
            <v>136.80000000000001</v>
          </cell>
        </row>
        <row r="715">
          <cell r="E715">
            <v>4</v>
          </cell>
          <cell r="F715">
            <v>532.49</v>
          </cell>
          <cell r="N715">
            <v>2129.96</v>
          </cell>
        </row>
        <row r="716">
          <cell r="E716">
            <v>1</v>
          </cell>
          <cell r="F716">
            <v>51.73</v>
          </cell>
          <cell r="N716">
            <v>51.73</v>
          </cell>
        </row>
        <row r="717">
          <cell r="E717">
            <v>3</v>
          </cell>
          <cell r="F717">
            <v>653.63</v>
          </cell>
          <cell r="N717">
            <v>1960.89</v>
          </cell>
        </row>
        <row r="718">
          <cell r="E718">
            <v>3</v>
          </cell>
          <cell r="F718">
            <v>454.29</v>
          </cell>
          <cell r="N718">
            <v>1362.87</v>
          </cell>
        </row>
        <row r="719">
          <cell r="E719">
            <v>3</v>
          </cell>
          <cell r="F719">
            <v>122.11</v>
          </cell>
          <cell r="N719">
            <v>366.33</v>
          </cell>
        </row>
        <row r="720">
          <cell r="E720">
            <v>4</v>
          </cell>
          <cell r="F720">
            <v>64.739999999999995</v>
          </cell>
          <cell r="N720">
            <v>258.95999999999998</v>
          </cell>
        </row>
        <row r="721">
          <cell r="E721">
            <v>2</v>
          </cell>
          <cell r="F721">
            <v>681.06</v>
          </cell>
          <cell r="N721">
            <v>1362.12</v>
          </cell>
        </row>
        <row r="722">
          <cell r="E722">
            <v>5</v>
          </cell>
          <cell r="F722">
            <v>128.94999999999999</v>
          </cell>
          <cell r="N722">
            <v>644.75</v>
          </cell>
        </row>
        <row r="723">
          <cell r="E723">
            <v>2</v>
          </cell>
          <cell r="F723">
            <v>118.59</v>
          </cell>
          <cell r="N723">
            <v>237.18</v>
          </cell>
        </row>
        <row r="724">
          <cell r="E724">
            <v>1</v>
          </cell>
          <cell r="F724">
            <v>95.1</v>
          </cell>
          <cell r="N724">
            <v>95.1</v>
          </cell>
        </row>
        <row r="725">
          <cell r="E725">
            <v>3</v>
          </cell>
          <cell r="F725">
            <v>54.95</v>
          </cell>
          <cell r="N725">
            <v>164.85</v>
          </cell>
        </row>
        <row r="726">
          <cell r="E726">
            <v>3</v>
          </cell>
          <cell r="F726">
            <v>136.97</v>
          </cell>
          <cell r="N726">
            <v>410.91</v>
          </cell>
        </row>
        <row r="727">
          <cell r="E727">
            <v>2</v>
          </cell>
          <cell r="F727">
            <v>194.85</v>
          </cell>
          <cell r="N727">
            <v>389.7</v>
          </cell>
        </row>
        <row r="728">
          <cell r="E728">
            <v>4</v>
          </cell>
          <cell r="F728">
            <v>583.02</v>
          </cell>
          <cell r="N728">
            <v>2332.08</v>
          </cell>
        </row>
        <row r="729">
          <cell r="E729">
            <v>5</v>
          </cell>
          <cell r="F729">
            <v>95.75</v>
          </cell>
          <cell r="N729">
            <v>478.75</v>
          </cell>
        </row>
        <row r="730">
          <cell r="E730">
            <v>4</v>
          </cell>
          <cell r="F730">
            <v>325.76</v>
          </cell>
          <cell r="N730">
            <v>1303.04</v>
          </cell>
        </row>
        <row r="731">
          <cell r="E731">
            <v>4</v>
          </cell>
          <cell r="F731">
            <v>186.41</v>
          </cell>
          <cell r="N731">
            <v>745.64</v>
          </cell>
        </row>
        <row r="732">
          <cell r="E732">
            <v>1</v>
          </cell>
          <cell r="F732">
            <v>474.6</v>
          </cell>
          <cell r="N732">
            <v>474.6</v>
          </cell>
        </row>
        <row r="733">
          <cell r="E733">
            <v>5</v>
          </cell>
          <cell r="F733">
            <v>584.46</v>
          </cell>
          <cell r="N733">
            <v>2922.3</v>
          </cell>
        </row>
        <row r="734">
          <cell r="E734">
            <v>1</v>
          </cell>
          <cell r="F734">
            <v>132.05000000000001</v>
          </cell>
          <cell r="N734">
            <v>132.05000000000001</v>
          </cell>
        </row>
        <row r="735">
          <cell r="E735">
            <v>4</v>
          </cell>
          <cell r="F735">
            <v>494.84</v>
          </cell>
          <cell r="N735">
            <v>1979.36</v>
          </cell>
        </row>
        <row r="736">
          <cell r="E736">
            <v>4</v>
          </cell>
          <cell r="F736">
            <v>224.61</v>
          </cell>
          <cell r="N736">
            <v>898.44</v>
          </cell>
        </row>
        <row r="737">
          <cell r="E737">
            <v>4</v>
          </cell>
          <cell r="F737">
            <v>44.07</v>
          </cell>
          <cell r="N737">
            <v>176.28</v>
          </cell>
        </row>
        <row r="738">
          <cell r="E738">
            <v>5</v>
          </cell>
          <cell r="F738">
            <v>418.53</v>
          </cell>
          <cell r="N738">
            <v>2092.65</v>
          </cell>
        </row>
        <row r="739">
          <cell r="E739">
            <v>4</v>
          </cell>
          <cell r="F739">
            <v>532.87</v>
          </cell>
          <cell r="N739">
            <v>2131.48</v>
          </cell>
        </row>
        <row r="740">
          <cell r="E740">
            <v>2</v>
          </cell>
          <cell r="F740">
            <v>485.37</v>
          </cell>
          <cell r="N740">
            <v>970.74</v>
          </cell>
        </row>
        <row r="741">
          <cell r="E741">
            <v>4</v>
          </cell>
          <cell r="F741">
            <v>386.73</v>
          </cell>
          <cell r="N741">
            <v>1546.92</v>
          </cell>
        </row>
        <row r="742">
          <cell r="E742">
            <v>2</v>
          </cell>
          <cell r="F742">
            <v>377.47</v>
          </cell>
          <cell r="N742">
            <v>754.94</v>
          </cell>
        </row>
        <row r="743">
          <cell r="E743">
            <v>5</v>
          </cell>
          <cell r="F743">
            <v>332.64</v>
          </cell>
          <cell r="N743">
            <v>1663.2</v>
          </cell>
        </row>
        <row r="744">
          <cell r="E744">
            <v>3</v>
          </cell>
          <cell r="F744">
            <v>699.93</v>
          </cell>
          <cell r="N744">
            <v>2099.79</v>
          </cell>
        </row>
        <row r="745">
          <cell r="E745">
            <v>1</v>
          </cell>
          <cell r="F745">
            <v>576.35</v>
          </cell>
          <cell r="N745">
            <v>576.35</v>
          </cell>
        </row>
        <row r="746">
          <cell r="E746">
            <v>2</v>
          </cell>
          <cell r="F746">
            <v>461.37</v>
          </cell>
          <cell r="N746">
            <v>922.74</v>
          </cell>
        </row>
        <row r="747">
          <cell r="E747">
            <v>4</v>
          </cell>
          <cell r="F747">
            <v>111.3</v>
          </cell>
          <cell r="N747">
            <v>445.2</v>
          </cell>
        </row>
        <row r="748">
          <cell r="E748">
            <v>3</v>
          </cell>
          <cell r="F748">
            <v>661.89</v>
          </cell>
          <cell r="N748">
            <v>1985.67</v>
          </cell>
        </row>
        <row r="749">
          <cell r="E749">
            <v>2</v>
          </cell>
          <cell r="F749">
            <v>259.58</v>
          </cell>
          <cell r="N749">
            <v>519.16</v>
          </cell>
        </row>
        <row r="750">
          <cell r="E750">
            <v>3</v>
          </cell>
          <cell r="F750">
            <v>70.81</v>
          </cell>
          <cell r="N750">
            <v>212.43</v>
          </cell>
        </row>
        <row r="751">
          <cell r="E751">
            <v>1</v>
          </cell>
          <cell r="F751">
            <v>518.39</v>
          </cell>
          <cell r="N751">
            <v>518.39</v>
          </cell>
        </row>
        <row r="752">
          <cell r="E752">
            <v>4</v>
          </cell>
          <cell r="F752">
            <v>145.41</v>
          </cell>
          <cell r="N752">
            <v>581.64</v>
          </cell>
        </row>
        <row r="753">
          <cell r="E753">
            <v>2</v>
          </cell>
          <cell r="F753">
            <v>599.86</v>
          </cell>
          <cell r="N753">
            <v>1199.72</v>
          </cell>
        </row>
        <row r="754">
          <cell r="E754">
            <v>4</v>
          </cell>
          <cell r="F754">
            <v>429.37</v>
          </cell>
          <cell r="N754">
            <v>1717.48</v>
          </cell>
        </row>
        <row r="755">
          <cell r="E755">
            <v>2</v>
          </cell>
          <cell r="F755">
            <v>241.49</v>
          </cell>
          <cell r="N755">
            <v>482.98</v>
          </cell>
        </row>
        <row r="756">
          <cell r="E756">
            <v>2</v>
          </cell>
          <cell r="F756">
            <v>452.05</v>
          </cell>
          <cell r="N756">
            <v>904.1</v>
          </cell>
        </row>
        <row r="757">
          <cell r="E757">
            <v>3</v>
          </cell>
          <cell r="F757">
            <v>336.71</v>
          </cell>
          <cell r="N757">
            <v>1010.13</v>
          </cell>
        </row>
        <row r="758">
          <cell r="E758">
            <v>1</v>
          </cell>
          <cell r="F758">
            <v>283.69</v>
          </cell>
          <cell r="N758">
            <v>283.69</v>
          </cell>
        </row>
        <row r="759">
          <cell r="E759">
            <v>1</v>
          </cell>
          <cell r="F759">
            <v>157.72</v>
          </cell>
          <cell r="N759">
            <v>157.72</v>
          </cell>
        </row>
        <row r="760">
          <cell r="E760">
            <v>3</v>
          </cell>
          <cell r="F760">
            <v>624.84</v>
          </cell>
          <cell r="N760">
            <v>1874.52</v>
          </cell>
        </row>
        <row r="761">
          <cell r="E761">
            <v>3</v>
          </cell>
          <cell r="F761">
            <v>308.01</v>
          </cell>
          <cell r="N761">
            <v>924.03</v>
          </cell>
        </row>
        <row r="762">
          <cell r="E762">
            <v>1</v>
          </cell>
          <cell r="F762">
            <v>39.56</v>
          </cell>
          <cell r="N762">
            <v>39.56</v>
          </cell>
        </row>
        <row r="763">
          <cell r="E763">
            <v>4</v>
          </cell>
          <cell r="F763">
            <v>37.76</v>
          </cell>
          <cell r="N763">
            <v>151.04</v>
          </cell>
        </row>
        <row r="764">
          <cell r="E764">
            <v>3</v>
          </cell>
          <cell r="F764">
            <v>76.959999999999994</v>
          </cell>
          <cell r="N764">
            <v>230.88</v>
          </cell>
        </row>
        <row r="765">
          <cell r="E765">
            <v>1</v>
          </cell>
          <cell r="F765">
            <v>569.96</v>
          </cell>
          <cell r="N765">
            <v>569.96</v>
          </cell>
        </row>
        <row r="766">
          <cell r="E766">
            <v>5</v>
          </cell>
          <cell r="F766">
            <v>627.42999999999995</v>
          </cell>
          <cell r="N766">
            <v>3137.15</v>
          </cell>
        </row>
        <row r="767">
          <cell r="E767">
            <v>2</v>
          </cell>
          <cell r="F767">
            <v>534.91</v>
          </cell>
          <cell r="N767">
            <v>1069.82</v>
          </cell>
        </row>
        <row r="768">
          <cell r="E768">
            <v>2</v>
          </cell>
          <cell r="F768">
            <v>278.88</v>
          </cell>
          <cell r="N768">
            <v>557.76</v>
          </cell>
        </row>
        <row r="769">
          <cell r="E769">
            <v>2</v>
          </cell>
          <cell r="F769">
            <v>323.22000000000003</v>
          </cell>
          <cell r="N769">
            <v>646.44000000000005</v>
          </cell>
        </row>
        <row r="770">
          <cell r="E770">
            <v>5</v>
          </cell>
          <cell r="F770">
            <v>653.46</v>
          </cell>
          <cell r="N770">
            <v>3267.3</v>
          </cell>
        </row>
        <row r="771">
          <cell r="E771">
            <v>4</v>
          </cell>
          <cell r="F771">
            <v>678.55</v>
          </cell>
          <cell r="N771">
            <v>2714.2</v>
          </cell>
        </row>
        <row r="772">
          <cell r="E772">
            <v>1</v>
          </cell>
          <cell r="F772">
            <v>314.38</v>
          </cell>
          <cell r="N772">
            <v>314.38</v>
          </cell>
        </row>
        <row r="773">
          <cell r="E773">
            <v>3</v>
          </cell>
          <cell r="F773">
            <v>692.44</v>
          </cell>
          <cell r="N773">
            <v>2077.3200000000002</v>
          </cell>
        </row>
        <row r="774">
          <cell r="E774">
            <v>1</v>
          </cell>
          <cell r="F774">
            <v>604.87</v>
          </cell>
          <cell r="N774">
            <v>604.87</v>
          </cell>
        </row>
        <row r="775">
          <cell r="E775">
            <v>2</v>
          </cell>
          <cell r="F775">
            <v>512.33000000000004</v>
          </cell>
          <cell r="N775">
            <v>1024.6600000000001</v>
          </cell>
        </row>
        <row r="776">
          <cell r="E776">
            <v>3</v>
          </cell>
          <cell r="F776">
            <v>20.54</v>
          </cell>
          <cell r="N776">
            <v>61.62</v>
          </cell>
        </row>
        <row r="777">
          <cell r="E777">
            <v>2</v>
          </cell>
          <cell r="F777">
            <v>625.22</v>
          </cell>
          <cell r="N777">
            <v>1250.44</v>
          </cell>
        </row>
        <row r="778">
          <cell r="E778">
            <v>1</v>
          </cell>
          <cell r="F778">
            <v>21.19</v>
          </cell>
          <cell r="N778">
            <v>21.19</v>
          </cell>
        </row>
        <row r="779">
          <cell r="E779">
            <v>5</v>
          </cell>
          <cell r="F779">
            <v>64.489999999999995</v>
          </cell>
          <cell r="N779">
            <v>322.45</v>
          </cell>
        </row>
        <row r="780">
          <cell r="E780">
            <v>4</v>
          </cell>
          <cell r="F780">
            <v>246.85</v>
          </cell>
          <cell r="N780">
            <v>987.4</v>
          </cell>
        </row>
        <row r="781">
          <cell r="E781">
            <v>3</v>
          </cell>
          <cell r="F781">
            <v>588.74</v>
          </cell>
          <cell r="N781">
            <v>1766.22</v>
          </cell>
        </row>
        <row r="782">
          <cell r="E782">
            <v>4</v>
          </cell>
          <cell r="F782">
            <v>184.48</v>
          </cell>
          <cell r="N782">
            <v>737.92</v>
          </cell>
        </row>
        <row r="783">
          <cell r="E783">
            <v>5</v>
          </cell>
          <cell r="F783">
            <v>524.26</v>
          </cell>
          <cell r="N783">
            <v>2621.3000000000002</v>
          </cell>
        </row>
        <row r="784">
          <cell r="E784">
            <v>2</v>
          </cell>
          <cell r="F784">
            <v>493.63</v>
          </cell>
          <cell r="N784">
            <v>987.26</v>
          </cell>
        </row>
        <row r="785">
          <cell r="E785">
            <v>1</v>
          </cell>
          <cell r="F785">
            <v>438.34</v>
          </cell>
          <cell r="N785">
            <v>438.34</v>
          </cell>
        </row>
        <row r="786">
          <cell r="E786">
            <v>1</v>
          </cell>
          <cell r="F786">
            <v>325.81</v>
          </cell>
          <cell r="N786">
            <v>325.81</v>
          </cell>
        </row>
        <row r="787">
          <cell r="E787">
            <v>1</v>
          </cell>
          <cell r="F787">
            <v>176.1</v>
          </cell>
          <cell r="N787">
            <v>176.1</v>
          </cell>
        </row>
        <row r="788">
          <cell r="E788">
            <v>5</v>
          </cell>
          <cell r="F788">
            <v>45.31</v>
          </cell>
          <cell r="N788">
            <v>226.55</v>
          </cell>
        </row>
        <row r="789">
          <cell r="E789">
            <v>4</v>
          </cell>
          <cell r="F789">
            <v>221.96</v>
          </cell>
          <cell r="N789">
            <v>887.84</v>
          </cell>
        </row>
        <row r="790">
          <cell r="E790">
            <v>2</v>
          </cell>
          <cell r="F790">
            <v>601.42999999999995</v>
          </cell>
          <cell r="N790">
            <v>1202.8599999999999</v>
          </cell>
        </row>
        <row r="791">
          <cell r="E791">
            <v>5</v>
          </cell>
          <cell r="F791">
            <v>691.28</v>
          </cell>
          <cell r="N791">
            <v>3456.4</v>
          </cell>
        </row>
        <row r="792">
          <cell r="E792">
            <v>4</v>
          </cell>
          <cell r="F792">
            <v>417.89</v>
          </cell>
          <cell r="N792">
            <v>1671.56</v>
          </cell>
        </row>
        <row r="793">
          <cell r="E793">
            <v>4</v>
          </cell>
          <cell r="F793">
            <v>409.28</v>
          </cell>
          <cell r="N793">
            <v>1637.12</v>
          </cell>
        </row>
        <row r="794">
          <cell r="E794">
            <v>2</v>
          </cell>
          <cell r="F794">
            <v>356.35</v>
          </cell>
          <cell r="N794">
            <v>712.7</v>
          </cell>
        </row>
        <row r="795">
          <cell r="E795">
            <v>5</v>
          </cell>
          <cell r="F795">
            <v>170.22</v>
          </cell>
          <cell r="N795">
            <v>851.1</v>
          </cell>
        </row>
        <row r="796">
          <cell r="E796">
            <v>4</v>
          </cell>
          <cell r="F796">
            <v>384.85</v>
          </cell>
          <cell r="N796">
            <v>1539.4</v>
          </cell>
        </row>
        <row r="797">
          <cell r="E797">
            <v>4</v>
          </cell>
          <cell r="F797">
            <v>115.77</v>
          </cell>
          <cell r="N797">
            <v>463.08</v>
          </cell>
        </row>
        <row r="798">
          <cell r="E798">
            <v>3</v>
          </cell>
          <cell r="F798">
            <v>579.54999999999995</v>
          </cell>
          <cell r="N798">
            <v>1738.65</v>
          </cell>
        </row>
        <row r="799">
          <cell r="E799">
            <v>2</v>
          </cell>
          <cell r="F799">
            <v>438.76</v>
          </cell>
          <cell r="N799">
            <v>877.52</v>
          </cell>
        </row>
        <row r="800">
          <cell r="E800">
            <v>5</v>
          </cell>
          <cell r="F800">
            <v>488.35</v>
          </cell>
          <cell r="N800">
            <v>2441.75</v>
          </cell>
        </row>
        <row r="801">
          <cell r="E801">
            <v>4</v>
          </cell>
          <cell r="F801">
            <v>328.56</v>
          </cell>
          <cell r="N801">
            <v>1314.24</v>
          </cell>
        </row>
        <row r="802">
          <cell r="E802">
            <v>1</v>
          </cell>
          <cell r="F802">
            <v>68.39</v>
          </cell>
          <cell r="N802">
            <v>68.39</v>
          </cell>
        </row>
        <row r="803">
          <cell r="E803">
            <v>4</v>
          </cell>
          <cell r="F803">
            <v>595.62</v>
          </cell>
          <cell r="N803">
            <v>2382.48</v>
          </cell>
        </row>
        <row r="804">
          <cell r="E804">
            <v>5</v>
          </cell>
          <cell r="F804">
            <v>644.64</v>
          </cell>
          <cell r="N804">
            <v>3223.2</v>
          </cell>
        </row>
        <row r="805">
          <cell r="E805">
            <v>5</v>
          </cell>
          <cell r="F805">
            <v>397.81</v>
          </cell>
          <cell r="N805">
            <v>1989.05</v>
          </cell>
        </row>
        <row r="806">
          <cell r="E806">
            <v>3</v>
          </cell>
          <cell r="F806">
            <v>236.5</v>
          </cell>
          <cell r="N806">
            <v>709.5</v>
          </cell>
        </row>
        <row r="807">
          <cell r="E807">
            <v>5</v>
          </cell>
          <cell r="F807">
            <v>472.01</v>
          </cell>
          <cell r="N807">
            <v>2360.0500000000002</v>
          </cell>
        </row>
        <row r="808">
          <cell r="E808">
            <v>5</v>
          </cell>
          <cell r="F808">
            <v>253.75</v>
          </cell>
          <cell r="N808">
            <v>1268.75</v>
          </cell>
        </row>
        <row r="809">
          <cell r="E809">
            <v>3</v>
          </cell>
          <cell r="F809">
            <v>676.21</v>
          </cell>
          <cell r="N809">
            <v>2028.63</v>
          </cell>
        </row>
        <row r="810">
          <cell r="E810">
            <v>3</v>
          </cell>
          <cell r="F810">
            <v>134.05000000000001</v>
          </cell>
          <cell r="N810">
            <v>402.15</v>
          </cell>
        </row>
        <row r="811">
          <cell r="E811">
            <v>5</v>
          </cell>
          <cell r="F811">
            <v>217.43</v>
          </cell>
          <cell r="N811">
            <v>1087.1500000000001</v>
          </cell>
        </row>
        <row r="812">
          <cell r="E812">
            <v>1</v>
          </cell>
          <cell r="F812">
            <v>553.55999999999995</v>
          </cell>
          <cell r="N812">
            <v>553.55999999999995</v>
          </cell>
        </row>
        <row r="813">
          <cell r="E813">
            <v>2</v>
          </cell>
          <cell r="F813">
            <v>28.55</v>
          </cell>
          <cell r="N813">
            <v>57.1</v>
          </cell>
        </row>
        <row r="814">
          <cell r="E814">
            <v>2</v>
          </cell>
          <cell r="F814">
            <v>255.26</v>
          </cell>
          <cell r="N814">
            <v>510.52</v>
          </cell>
        </row>
        <row r="815">
          <cell r="E815">
            <v>5</v>
          </cell>
          <cell r="F815">
            <v>292.54000000000002</v>
          </cell>
          <cell r="N815">
            <v>1462.7</v>
          </cell>
        </row>
        <row r="816">
          <cell r="E816">
            <v>4</v>
          </cell>
          <cell r="F816">
            <v>147.51</v>
          </cell>
          <cell r="N816">
            <v>590.04</v>
          </cell>
        </row>
        <row r="817">
          <cell r="E817">
            <v>3</v>
          </cell>
          <cell r="F817">
            <v>569.84</v>
          </cell>
          <cell r="N817">
            <v>1709.52</v>
          </cell>
        </row>
        <row r="818">
          <cell r="E818">
            <v>5</v>
          </cell>
          <cell r="F818">
            <v>574.79</v>
          </cell>
          <cell r="N818">
            <v>2873.95</v>
          </cell>
        </row>
        <row r="819">
          <cell r="E819">
            <v>4</v>
          </cell>
          <cell r="F819">
            <v>598.19000000000005</v>
          </cell>
          <cell r="N819">
            <v>2392.7600000000002</v>
          </cell>
        </row>
        <row r="820">
          <cell r="E820">
            <v>4</v>
          </cell>
          <cell r="F820">
            <v>390.84</v>
          </cell>
          <cell r="N820">
            <v>1563.36</v>
          </cell>
        </row>
        <row r="821">
          <cell r="E821">
            <v>2</v>
          </cell>
          <cell r="F821">
            <v>398.45</v>
          </cell>
          <cell r="N821">
            <v>796.9</v>
          </cell>
        </row>
        <row r="822">
          <cell r="E822">
            <v>5</v>
          </cell>
          <cell r="F822">
            <v>623.80999999999995</v>
          </cell>
          <cell r="N822">
            <v>3119.05</v>
          </cell>
        </row>
        <row r="823">
          <cell r="E823">
            <v>4</v>
          </cell>
          <cell r="F823">
            <v>174.49</v>
          </cell>
          <cell r="N823">
            <v>697.96</v>
          </cell>
        </row>
        <row r="824">
          <cell r="E824">
            <v>1</v>
          </cell>
          <cell r="F824">
            <v>479.56</v>
          </cell>
          <cell r="N824">
            <v>479.56</v>
          </cell>
        </row>
        <row r="825">
          <cell r="E825">
            <v>4</v>
          </cell>
          <cell r="F825">
            <v>653.13</v>
          </cell>
          <cell r="N825">
            <v>2612.52</v>
          </cell>
        </row>
        <row r="826">
          <cell r="E826">
            <v>3</v>
          </cell>
          <cell r="F826">
            <v>481.1</v>
          </cell>
          <cell r="N826">
            <v>1443.3</v>
          </cell>
        </row>
        <row r="827">
          <cell r="E827">
            <v>5</v>
          </cell>
          <cell r="F827">
            <v>271.69</v>
          </cell>
          <cell r="N827">
            <v>1358.45</v>
          </cell>
        </row>
        <row r="828">
          <cell r="E828">
            <v>3</v>
          </cell>
          <cell r="F828">
            <v>463.81</v>
          </cell>
          <cell r="N828">
            <v>1391.43</v>
          </cell>
        </row>
        <row r="829">
          <cell r="E829">
            <v>2</v>
          </cell>
          <cell r="F829">
            <v>639.88</v>
          </cell>
          <cell r="N829">
            <v>1279.76</v>
          </cell>
        </row>
        <row r="830">
          <cell r="E830">
            <v>4</v>
          </cell>
          <cell r="F830">
            <v>404.58</v>
          </cell>
          <cell r="N830">
            <v>1618.32</v>
          </cell>
        </row>
        <row r="831">
          <cell r="E831">
            <v>1</v>
          </cell>
          <cell r="F831">
            <v>76.930000000000007</v>
          </cell>
          <cell r="N831">
            <v>76.930000000000007</v>
          </cell>
        </row>
        <row r="832">
          <cell r="E832">
            <v>4</v>
          </cell>
          <cell r="F832">
            <v>190.64</v>
          </cell>
          <cell r="N832">
            <v>762.56</v>
          </cell>
        </row>
        <row r="833">
          <cell r="E833">
            <v>2</v>
          </cell>
          <cell r="F833">
            <v>88.73</v>
          </cell>
          <cell r="N833">
            <v>177.46</v>
          </cell>
        </row>
        <row r="834">
          <cell r="E834">
            <v>5</v>
          </cell>
          <cell r="F834">
            <v>485.71</v>
          </cell>
          <cell r="N834">
            <v>2428.5500000000002</v>
          </cell>
        </row>
        <row r="835">
          <cell r="E835">
            <v>5</v>
          </cell>
          <cell r="F835">
            <v>78.290000000000006</v>
          </cell>
          <cell r="N835">
            <v>391.45</v>
          </cell>
        </row>
        <row r="836">
          <cell r="E836">
            <v>5</v>
          </cell>
          <cell r="F836">
            <v>22.14</v>
          </cell>
          <cell r="N836">
            <v>110.7</v>
          </cell>
        </row>
        <row r="837">
          <cell r="E837">
            <v>1</v>
          </cell>
          <cell r="F837">
            <v>679.65</v>
          </cell>
          <cell r="N837">
            <v>679.65</v>
          </cell>
        </row>
        <row r="838">
          <cell r="E838">
            <v>1</v>
          </cell>
          <cell r="F838">
            <v>178.44</v>
          </cell>
          <cell r="N838">
            <v>178.44</v>
          </cell>
        </row>
        <row r="839">
          <cell r="E839">
            <v>5</v>
          </cell>
          <cell r="F839">
            <v>655.55</v>
          </cell>
          <cell r="N839">
            <v>3277.75</v>
          </cell>
        </row>
        <row r="840">
          <cell r="E840">
            <v>4</v>
          </cell>
          <cell r="F840">
            <v>577.08000000000004</v>
          </cell>
          <cell r="N840">
            <v>2308.3200000000002</v>
          </cell>
        </row>
        <row r="841">
          <cell r="E841">
            <v>3</v>
          </cell>
          <cell r="F841">
            <v>197.97</v>
          </cell>
          <cell r="N841">
            <v>593.91</v>
          </cell>
        </row>
        <row r="842">
          <cell r="E842">
            <v>3</v>
          </cell>
          <cell r="F842">
            <v>411.95</v>
          </cell>
          <cell r="N842">
            <v>1235.8499999999999</v>
          </cell>
        </row>
        <row r="843">
          <cell r="E843">
            <v>2</v>
          </cell>
          <cell r="F843">
            <v>443.22</v>
          </cell>
          <cell r="N843">
            <v>886.44</v>
          </cell>
        </row>
        <row r="844">
          <cell r="E844">
            <v>3</v>
          </cell>
          <cell r="F844">
            <v>364.14</v>
          </cell>
          <cell r="N844">
            <v>1092.42</v>
          </cell>
        </row>
        <row r="845">
          <cell r="E845">
            <v>3</v>
          </cell>
          <cell r="F845">
            <v>430.06</v>
          </cell>
          <cell r="N845">
            <v>1290.18</v>
          </cell>
        </row>
        <row r="846">
          <cell r="E846">
            <v>1</v>
          </cell>
          <cell r="F846">
            <v>320.92</v>
          </cell>
          <cell r="N846">
            <v>320.92</v>
          </cell>
        </row>
        <row r="847">
          <cell r="E847">
            <v>3</v>
          </cell>
          <cell r="F847">
            <v>107.36</v>
          </cell>
          <cell r="N847">
            <v>322.08</v>
          </cell>
        </row>
        <row r="848">
          <cell r="E848">
            <v>2</v>
          </cell>
          <cell r="F848">
            <v>359.86</v>
          </cell>
          <cell r="N848">
            <v>719.72</v>
          </cell>
        </row>
        <row r="849">
          <cell r="E849">
            <v>4</v>
          </cell>
          <cell r="F849">
            <v>434.23</v>
          </cell>
          <cell r="N849">
            <v>1736.92</v>
          </cell>
        </row>
        <row r="850">
          <cell r="E850">
            <v>2</v>
          </cell>
          <cell r="F850">
            <v>645.85</v>
          </cell>
          <cell r="N850">
            <v>1291.7</v>
          </cell>
        </row>
        <row r="851">
          <cell r="E851">
            <v>4</v>
          </cell>
          <cell r="F851">
            <v>214.35</v>
          </cell>
          <cell r="N851">
            <v>857.4</v>
          </cell>
        </row>
        <row r="852">
          <cell r="E852">
            <v>3</v>
          </cell>
          <cell r="F852">
            <v>638.5</v>
          </cell>
          <cell r="N852">
            <v>1915.5</v>
          </cell>
        </row>
        <row r="853">
          <cell r="E853">
            <v>1</v>
          </cell>
          <cell r="F853">
            <v>365.57</v>
          </cell>
          <cell r="N853">
            <v>365.57</v>
          </cell>
        </row>
        <row r="854">
          <cell r="E854">
            <v>3</v>
          </cell>
          <cell r="F854">
            <v>568.04999999999995</v>
          </cell>
          <cell r="N854">
            <v>1704.15</v>
          </cell>
        </row>
        <row r="855">
          <cell r="E855">
            <v>3</v>
          </cell>
          <cell r="F855">
            <v>490.01</v>
          </cell>
          <cell r="N855">
            <v>1470.03</v>
          </cell>
        </row>
        <row r="856">
          <cell r="E856">
            <v>3</v>
          </cell>
          <cell r="F856">
            <v>372.6</v>
          </cell>
          <cell r="N856">
            <v>1117.8</v>
          </cell>
        </row>
        <row r="857">
          <cell r="E857">
            <v>5</v>
          </cell>
          <cell r="F857">
            <v>240.61</v>
          </cell>
          <cell r="N857">
            <v>1203.05</v>
          </cell>
        </row>
        <row r="858">
          <cell r="E858">
            <v>1</v>
          </cell>
          <cell r="F858">
            <v>586.62</v>
          </cell>
          <cell r="N858">
            <v>586.62</v>
          </cell>
        </row>
        <row r="859">
          <cell r="E859">
            <v>3</v>
          </cell>
          <cell r="F859">
            <v>257.83999999999997</v>
          </cell>
          <cell r="N859">
            <v>773.52</v>
          </cell>
        </row>
        <row r="860">
          <cell r="E860">
            <v>5</v>
          </cell>
          <cell r="F860">
            <v>435.66</v>
          </cell>
          <cell r="N860">
            <v>2178.3000000000002</v>
          </cell>
        </row>
        <row r="861">
          <cell r="E861">
            <v>5</v>
          </cell>
          <cell r="F861">
            <v>261.33</v>
          </cell>
          <cell r="N861">
            <v>1306.6500000000001</v>
          </cell>
        </row>
        <row r="862">
          <cell r="E862">
            <v>1</v>
          </cell>
          <cell r="F862">
            <v>422.54</v>
          </cell>
          <cell r="N862">
            <v>422.54</v>
          </cell>
        </row>
        <row r="863">
          <cell r="E863">
            <v>5</v>
          </cell>
          <cell r="F863">
            <v>330.45</v>
          </cell>
          <cell r="N863">
            <v>1652.25</v>
          </cell>
        </row>
        <row r="864">
          <cell r="E864">
            <v>3</v>
          </cell>
          <cell r="F864">
            <v>120.82</v>
          </cell>
          <cell r="N864">
            <v>362.46</v>
          </cell>
        </row>
        <row r="865">
          <cell r="E865">
            <v>1</v>
          </cell>
          <cell r="F865">
            <v>14.06</v>
          </cell>
          <cell r="N865">
            <v>14.06</v>
          </cell>
        </row>
        <row r="866">
          <cell r="E866">
            <v>1</v>
          </cell>
          <cell r="F866">
            <v>491.11</v>
          </cell>
          <cell r="N866">
            <v>491.11</v>
          </cell>
        </row>
        <row r="867">
          <cell r="E867">
            <v>4</v>
          </cell>
          <cell r="F867">
            <v>677.37</v>
          </cell>
          <cell r="N867">
            <v>2709.48</v>
          </cell>
        </row>
        <row r="868">
          <cell r="E868">
            <v>5</v>
          </cell>
          <cell r="F868">
            <v>189.25</v>
          </cell>
          <cell r="N868">
            <v>946.25</v>
          </cell>
        </row>
        <row r="869">
          <cell r="E869">
            <v>4</v>
          </cell>
          <cell r="F869">
            <v>142.58000000000001</v>
          </cell>
          <cell r="N869">
            <v>570.32000000000005</v>
          </cell>
        </row>
        <row r="870">
          <cell r="E870">
            <v>4</v>
          </cell>
          <cell r="F870">
            <v>316.32</v>
          </cell>
          <cell r="N870">
            <v>1265.28</v>
          </cell>
        </row>
        <row r="871">
          <cell r="E871">
            <v>2</v>
          </cell>
          <cell r="F871">
            <v>533.95000000000005</v>
          </cell>
          <cell r="N871">
            <v>1067.9000000000001</v>
          </cell>
        </row>
        <row r="872">
          <cell r="E872">
            <v>4</v>
          </cell>
          <cell r="F872">
            <v>470.09</v>
          </cell>
          <cell r="N872">
            <v>1880.36</v>
          </cell>
        </row>
        <row r="873">
          <cell r="E873">
            <v>3</v>
          </cell>
          <cell r="F873">
            <v>324.3</v>
          </cell>
          <cell r="N873">
            <v>972.90000000000009</v>
          </cell>
        </row>
        <row r="874">
          <cell r="E874">
            <v>4</v>
          </cell>
          <cell r="F874">
            <v>629.34</v>
          </cell>
          <cell r="N874">
            <v>2517.36</v>
          </cell>
        </row>
        <row r="875">
          <cell r="E875">
            <v>3</v>
          </cell>
          <cell r="F875">
            <v>136.84</v>
          </cell>
          <cell r="N875">
            <v>410.52</v>
          </cell>
        </row>
        <row r="876">
          <cell r="E876">
            <v>2</v>
          </cell>
          <cell r="F876">
            <v>488.9</v>
          </cell>
          <cell r="N876">
            <v>977.8</v>
          </cell>
        </row>
        <row r="877">
          <cell r="E877">
            <v>5</v>
          </cell>
          <cell r="F877">
            <v>133.38999999999999</v>
          </cell>
          <cell r="N877">
            <v>666.94999999999993</v>
          </cell>
        </row>
        <row r="878">
          <cell r="E878">
            <v>5</v>
          </cell>
          <cell r="F878">
            <v>608.91</v>
          </cell>
          <cell r="N878">
            <v>3044.55</v>
          </cell>
        </row>
        <row r="879">
          <cell r="E879">
            <v>1</v>
          </cell>
          <cell r="F879">
            <v>524.05999999999995</v>
          </cell>
          <cell r="N879">
            <v>524.05999999999995</v>
          </cell>
        </row>
        <row r="880">
          <cell r="E880">
            <v>2</v>
          </cell>
          <cell r="F880">
            <v>330.69</v>
          </cell>
          <cell r="N880">
            <v>661.38</v>
          </cell>
        </row>
        <row r="881">
          <cell r="E881">
            <v>2</v>
          </cell>
          <cell r="F881">
            <v>547.66999999999996</v>
          </cell>
          <cell r="N881">
            <v>1095.3399999999999</v>
          </cell>
        </row>
        <row r="882">
          <cell r="E882">
            <v>4</v>
          </cell>
          <cell r="F882">
            <v>233.7</v>
          </cell>
          <cell r="N882">
            <v>934.8</v>
          </cell>
        </row>
        <row r="883">
          <cell r="E883">
            <v>2</v>
          </cell>
          <cell r="F883">
            <v>448.85</v>
          </cell>
          <cell r="N883">
            <v>897.7</v>
          </cell>
        </row>
        <row r="884">
          <cell r="E884">
            <v>2</v>
          </cell>
          <cell r="F884">
            <v>274.12</v>
          </cell>
          <cell r="N884">
            <v>548.24</v>
          </cell>
        </row>
        <row r="885">
          <cell r="E885">
            <v>5</v>
          </cell>
          <cell r="F885">
            <v>561.48</v>
          </cell>
          <cell r="N885">
            <v>2807.4</v>
          </cell>
        </row>
        <row r="886">
          <cell r="E886">
            <v>1</v>
          </cell>
          <cell r="F886">
            <v>595.54</v>
          </cell>
          <cell r="N886">
            <v>595.54</v>
          </cell>
        </row>
        <row r="887">
          <cell r="E887">
            <v>4</v>
          </cell>
          <cell r="F887">
            <v>515.59</v>
          </cell>
          <cell r="N887">
            <v>2062.36</v>
          </cell>
        </row>
        <row r="888">
          <cell r="E888">
            <v>1</v>
          </cell>
          <cell r="F888">
            <v>460.13</v>
          </cell>
          <cell r="N888">
            <v>460.13</v>
          </cell>
        </row>
        <row r="889">
          <cell r="E889">
            <v>3</v>
          </cell>
          <cell r="F889">
            <v>171.66</v>
          </cell>
          <cell r="N889">
            <v>514.98</v>
          </cell>
        </row>
        <row r="890">
          <cell r="E890">
            <v>2</v>
          </cell>
          <cell r="F890">
            <v>266.95</v>
          </cell>
          <cell r="N890">
            <v>533.9</v>
          </cell>
        </row>
        <row r="891">
          <cell r="E891">
            <v>5</v>
          </cell>
          <cell r="F891">
            <v>650.72</v>
          </cell>
          <cell r="N891">
            <v>3253.6</v>
          </cell>
        </row>
        <row r="892">
          <cell r="E892">
            <v>3</v>
          </cell>
          <cell r="F892">
            <v>439.53</v>
          </cell>
          <cell r="N892">
            <v>1318.59</v>
          </cell>
        </row>
        <row r="893">
          <cell r="E893">
            <v>3</v>
          </cell>
          <cell r="F893">
            <v>654.54</v>
          </cell>
          <cell r="N893">
            <v>1963.62</v>
          </cell>
        </row>
        <row r="894">
          <cell r="E894">
            <v>1</v>
          </cell>
          <cell r="F894">
            <v>394.53</v>
          </cell>
          <cell r="N894">
            <v>394.53</v>
          </cell>
        </row>
        <row r="895">
          <cell r="E895">
            <v>1</v>
          </cell>
          <cell r="F895">
            <v>678.01</v>
          </cell>
          <cell r="N895">
            <v>678.01</v>
          </cell>
        </row>
        <row r="896">
          <cell r="E896">
            <v>3</v>
          </cell>
          <cell r="F896">
            <v>575.01</v>
          </cell>
          <cell r="N896">
            <v>1725.03</v>
          </cell>
        </row>
        <row r="897">
          <cell r="E897">
            <v>3</v>
          </cell>
          <cell r="F897">
            <v>154.63999999999999</v>
          </cell>
          <cell r="N897">
            <v>463.92</v>
          </cell>
        </row>
        <row r="898">
          <cell r="E898">
            <v>3</v>
          </cell>
          <cell r="F898">
            <v>147.29</v>
          </cell>
          <cell r="N898">
            <v>441.87</v>
          </cell>
        </row>
        <row r="899">
          <cell r="E899">
            <v>4</v>
          </cell>
          <cell r="F899">
            <v>481.48</v>
          </cell>
          <cell r="N899">
            <v>1925.92</v>
          </cell>
        </row>
        <row r="900">
          <cell r="E900">
            <v>3</v>
          </cell>
          <cell r="F900">
            <v>158.37</v>
          </cell>
          <cell r="N900">
            <v>475.11</v>
          </cell>
        </row>
        <row r="901">
          <cell r="E901">
            <v>2</v>
          </cell>
          <cell r="F901">
            <v>323.37</v>
          </cell>
          <cell r="N901">
            <v>646.74</v>
          </cell>
        </row>
        <row r="902">
          <cell r="E902">
            <v>5</v>
          </cell>
          <cell r="F902">
            <v>73.83</v>
          </cell>
          <cell r="N902">
            <v>369.15</v>
          </cell>
        </row>
        <row r="903">
          <cell r="E903">
            <v>1</v>
          </cell>
          <cell r="F903">
            <v>458.63</v>
          </cell>
          <cell r="N903">
            <v>458.63</v>
          </cell>
        </row>
        <row r="904">
          <cell r="E904">
            <v>4</v>
          </cell>
          <cell r="F904">
            <v>180.25</v>
          </cell>
          <cell r="N904">
            <v>721</v>
          </cell>
        </row>
        <row r="905">
          <cell r="E905">
            <v>3</v>
          </cell>
          <cell r="F905">
            <v>473.49</v>
          </cell>
          <cell r="N905">
            <v>1420.47</v>
          </cell>
        </row>
        <row r="906">
          <cell r="E906">
            <v>4</v>
          </cell>
          <cell r="F906">
            <v>237.43</v>
          </cell>
          <cell r="N906">
            <v>949.72</v>
          </cell>
        </row>
        <row r="907">
          <cell r="E907">
            <v>1</v>
          </cell>
          <cell r="F907">
            <v>442.39</v>
          </cell>
          <cell r="N907">
            <v>442.39</v>
          </cell>
        </row>
        <row r="908">
          <cell r="E908">
            <v>1</v>
          </cell>
          <cell r="F908">
            <v>62.12</v>
          </cell>
          <cell r="N908">
            <v>62.12</v>
          </cell>
        </row>
        <row r="909">
          <cell r="E909">
            <v>5</v>
          </cell>
          <cell r="F909">
            <v>298.39</v>
          </cell>
          <cell r="N909">
            <v>1491.95</v>
          </cell>
        </row>
        <row r="910">
          <cell r="E910">
            <v>2</v>
          </cell>
          <cell r="F910">
            <v>697.93</v>
          </cell>
          <cell r="N910">
            <v>1395.86</v>
          </cell>
        </row>
        <row r="911">
          <cell r="E911">
            <v>2</v>
          </cell>
          <cell r="F911">
            <v>291.85000000000002</v>
          </cell>
          <cell r="N911">
            <v>583.70000000000005</v>
          </cell>
        </row>
        <row r="912">
          <cell r="E912">
            <v>3</v>
          </cell>
          <cell r="F912">
            <v>308.98</v>
          </cell>
          <cell r="N912">
            <v>926.94</v>
          </cell>
        </row>
        <row r="913">
          <cell r="E913">
            <v>5</v>
          </cell>
          <cell r="F913">
            <v>396.86</v>
          </cell>
          <cell r="N913">
            <v>1984.3</v>
          </cell>
        </row>
        <row r="914">
          <cell r="E914">
            <v>2</v>
          </cell>
          <cell r="F914">
            <v>139.69</v>
          </cell>
          <cell r="N914">
            <v>279.38</v>
          </cell>
        </row>
        <row r="915">
          <cell r="E915">
            <v>5</v>
          </cell>
          <cell r="F915">
            <v>475.95</v>
          </cell>
          <cell r="N915">
            <v>2379.75</v>
          </cell>
        </row>
        <row r="916">
          <cell r="E916">
            <v>1</v>
          </cell>
          <cell r="F916">
            <v>626.6</v>
          </cell>
          <cell r="N916">
            <v>626.6</v>
          </cell>
        </row>
        <row r="917">
          <cell r="E917">
            <v>4</v>
          </cell>
          <cell r="F917">
            <v>502.99</v>
          </cell>
          <cell r="N917">
            <v>2011.96</v>
          </cell>
        </row>
        <row r="918">
          <cell r="E918">
            <v>5</v>
          </cell>
          <cell r="F918">
            <v>578.83000000000004</v>
          </cell>
          <cell r="N918">
            <v>2894.15</v>
          </cell>
        </row>
        <row r="919">
          <cell r="E919">
            <v>5</v>
          </cell>
          <cell r="F919">
            <v>383.82</v>
          </cell>
          <cell r="N919">
            <v>1919.1</v>
          </cell>
        </row>
        <row r="920">
          <cell r="E920">
            <v>5</v>
          </cell>
          <cell r="F920">
            <v>368.25</v>
          </cell>
          <cell r="N920">
            <v>1841.25</v>
          </cell>
        </row>
        <row r="921">
          <cell r="E921">
            <v>2</v>
          </cell>
          <cell r="F921">
            <v>374.6</v>
          </cell>
          <cell r="N921">
            <v>749.2</v>
          </cell>
        </row>
        <row r="922">
          <cell r="E922">
            <v>2</v>
          </cell>
          <cell r="F922">
            <v>428.09</v>
          </cell>
          <cell r="N922">
            <v>856.18</v>
          </cell>
        </row>
        <row r="923">
          <cell r="E923">
            <v>1</v>
          </cell>
          <cell r="F923">
            <v>438.93</v>
          </cell>
          <cell r="N923">
            <v>438.93</v>
          </cell>
        </row>
        <row r="924">
          <cell r="E924">
            <v>2</v>
          </cell>
          <cell r="F924">
            <v>563.82000000000005</v>
          </cell>
          <cell r="N924">
            <v>1127.6400000000001</v>
          </cell>
        </row>
        <row r="925">
          <cell r="E925">
            <v>3</v>
          </cell>
          <cell r="F925">
            <v>649.92999999999995</v>
          </cell>
          <cell r="N925">
            <v>1949.79</v>
          </cell>
        </row>
        <row r="926">
          <cell r="E926">
            <v>5</v>
          </cell>
          <cell r="F926">
            <v>268.43</v>
          </cell>
          <cell r="N926">
            <v>1342.15</v>
          </cell>
        </row>
        <row r="927">
          <cell r="E927">
            <v>5</v>
          </cell>
          <cell r="F927">
            <v>502.47</v>
          </cell>
          <cell r="N927">
            <v>2512.35</v>
          </cell>
        </row>
        <row r="928">
          <cell r="E928">
            <v>1</v>
          </cell>
          <cell r="F928">
            <v>26.95</v>
          </cell>
          <cell r="N928">
            <v>26.95</v>
          </cell>
        </row>
        <row r="929">
          <cell r="E929">
            <v>4</v>
          </cell>
          <cell r="F929">
            <v>64.69</v>
          </cell>
          <cell r="N929">
            <v>258.76</v>
          </cell>
        </row>
        <row r="930">
          <cell r="E930">
            <v>3</v>
          </cell>
          <cell r="F930">
            <v>247.11</v>
          </cell>
          <cell r="N930">
            <v>741.33</v>
          </cell>
        </row>
        <row r="931">
          <cell r="E931">
            <v>2</v>
          </cell>
          <cell r="F931">
            <v>536.25</v>
          </cell>
          <cell r="N931">
            <v>1072.5</v>
          </cell>
        </row>
        <row r="932">
          <cell r="E932">
            <v>2</v>
          </cell>
          <cell r="F932">
            <v>456.04</v>
          </cell>
          <cell r="N932">
            <v>912.08</v>
          </cell>
        </row>
        <row r="933">
          <cell r="E933">
            <v>2</v>
          </cell>
          <cell r="F933">
            <v>40.229999999999997</v>
          </cell>
          <cell r="N933">
            <v>80.459999999999994</v>
          </cell>
        </row>
        <row r="934">
          <cell r="E934">
            <v>2</v>
          </cell>
          <cell r="F934">
            <v>72.39</v>
          </cell>
          <cell r="N934">
            <v>144.78</v>
          </cell>
        </row>
        <row r="935">
          <cell r="E935">
            <v>2</v>
          </cell>
          <cell r="F935">
            <v>394.16</v>
          </cell>
          <cell r="N935">
            <v>788.32</v>
          </cell>
        </row>
        <row r="936">
          <cell r="E936">
            <v>4</v>
          </cell>
          <cell r="F936">
            <v>119.84</v>
          </cell>
          <cell r="N936">
            <v>479.36</v>
          </cell>
        </row>
        <row r="937">
          <cell r="E937">
            <v>3</v>
          </cell>
          <cell r="F937">
            <v>692.71</v>
          </cell>
          <cell r="N937">
            <v>2078.13</v>
          </cell>
        </row>
        <row r="938">
          <cell r="E938">
            <v>4</v>
          </cell>
          <cell r="F938">
            <v>56.66</v>
          </cell>
          <cell r="N938">
            <v>226.64</v>
          </cell>
        </row>
        <row r="939">
          <cell r="E939">
            <v>2</v>
          </cell>
          <cell r="F939">
            <v>298.52999999999997</v>
          </cell>
          <cell r="N939">
            <v>597.05999999999995</v>
          </cell>
        </row>
        <row r="940">
          <cell r="E940">
            <v>3</v>
          </cell>
          <cell r="F940">
            <v>331.46</v>
          </cell>
          <cell r="N940">
            <v>994.37999999999988</v>
          </cell>
        </row>
        <row r="941">
          <cell r="E941">
            <v>2</v>
          </cell>
          <cell r="F941">
            <v>521.4</v>
          </cell>
          <cell r="N941">
            <v>1042.8</v>
          </cell>
        </row>
        <row r="942">
          <cell r="E942">
            <v>4</v>
          </cell>
          <cell r="F942">
            <v>305.32</v>
          </cell>
          <cell r="N942">
            <v>1221.28</v>
          </cell>
        </row>
        <row r="943">
          <cell r="E943">
            <v>5</v>
          </cell>
          <cell r="F943">
            <v>111.7</v>
          </cell>
          <cell r="N943">
            <v>558.5</v>
          </cell>
        </row>
        <row r="944">
          <cell r="E944">
            <v>1</v>
          </cell>
          <cell r="F944">
            <v>479.76</v>
          </cell>
          <cell r="N944">
            <v>479.76</v>
          </cell>
        </row>
        <row r="945">
          <cell r="E945">
            <v>3</v>
          </cell>
          <cell r="F945">
            <v>193.49</v>
          </cell>
          <cell r="N945">
            <v>580.47</v>
          </cell>
        </row>
        <row r="946">
          <cell r="E946">
            <v>2</v>
          </cell>
          <cell r="F946">
            <v>426.22</v>
          </cell>
          <cell r="N946">
            <v>852.44</v>
          </cell>
        </row>
        <row r="947">
          <cell r="E947">
            <v>5</v>
          </cell>
          <cell r="F947">
            <v>276.44</v>
          </cell>
          <cell r="N947">
            <v>1382.2</v>
          </cell>
        </row>
        <row r="948">
          <cell r="E948">
            <v>2</v>
          </cell>
          <cell r="F948">
            <v>404.96</v>
          </cell>
          <cell r="N948">
            <v>809.92</v>
          </cell>
        </row>
        <row r="949">
          <cell r="E949">
            <v>4</v>
          </cell>
          <cell r="F949">
            <v>465.66</v>
          </cell>
          <cell r="N949">
            <v>1862.64</v>
          </cell>
        </row>
        <row r="950">
          <cell r="E950">
            <v>2</v>
          </cell>
          <cell r="F950">
            <v>594.07000000000005</v>
          </cell>
          <cell r="N950">
            <v>1188.1400000000001</v>
          </cell>
        </row>
        <row r="951">
          <cell r="E951">
            <v>5</v>
          </cell>
          <cell r="F951">
            <v>110.38</v>
          </cell>
          <cell r="N951">
            <v>551.9</v>
          </cell>
        </row>
        <row r="952">
          <cell r="E952">
            <v>1</v>
          </cell>
          <cell r="F952">
            <v>596.24</v>
          </cell>
          <cell r="N952">
            <v>596.24</v>
          </cell>
        </row>
        <row r="953">
          <cell r="E953">
            <v>2</v>
          </cell>
          <cell r="F953">
            <v>306.24</v>
          </cell>
          <cell r="N953">
            <v>612.48</v>
          </cell>
        </row>
        <row r="954">
          <cell r="E954">
            <v>3</v>
          </cell>
          <cell r="F954">
            <v>503.39</v>
          </cell>
          <cell r="N954">
            <v>1510.17</v>
          </cell>
        </row>
        <row r="955">
          <cell r="E955">
            <v>1</v>
          </cell>
          <cell r="F955">
            <v>131.61000000000001</v>
          </cell>
          <cell r="N955">
            <v>131.61000000000001</v>
          </cell>
        </row>
        <row r="956">
          <cell r="E956">
            <v>3</v>
          </cell>
          <cell r="F956">
            <v>443.44</v>
          </cell>
          <cell r="N956">
            <v>1330.32</v>
          </cell>
        </row>
        <row r="957">
          <cell r="E957">
            <v>1</v>
          </cell>
          <cell r="F957">
            <v>408.13</v>
          </cell>
          <cell r="N957">
            <v>408.13</v>
          </cell>
        </row>
        <row r="958">
          <cell r="E958">
            <v>2</v>
          </cell>
          <cell r="F958">
            <v>160.97999999999999</v>
          </cell>
          <cell r="N958">
            <v>321.95999999999998</v>
          </cell>
        </row>
        <row r="959">
          <cell r="E959">
            <v>5</v>
          </cell>
          <cell r="F959">
            <v>643.89</v>
          </cell>
          <cell r="N959">
            <v>3219.45</v>
          </cell>
        </row>
        <row r="960">
          <cell r="E960">
            <v>3</v>
          </cell>
          <cell r="F960">
            <v>158.66</v>
          </cell>
          <cell r="N960">
            <v>475.98</v>
          </cell>
        </row>
        <row r="961">
          <cell r="E961">
            <v>2</v>
          </cell>
          <cell r="F961">
            <v>143.82</v>
          </cell>
          <cell r="N961">
            <v>287.64</v>
          </cell>
        </row>
        <row r="962">
          <cell r="E962">
            <v>3</v>
          </cell>
          <cell r="F962">
            <v>379.07</v>
          </cell>
          <cell r="N962">
            <v>1137.21</v>
          </cell>
        </row>
        <row r="963">
          <cell r="E963">
            <v>1</v>
          </cell>
          <cell r="F963">
            <v>601.36</v>
          </cell>
          <cell r="N963">
            <v>601.36</v>
          </cell>
        </row>
        <row r="964">
          <cell r="E964">
            <v>2</v>
          </cell>
          <cell r="F964">
            <v>142.08000000000001</v>
          </cell>
          <cell r="N964">
            <v>284.16000000000003</v>
          </cell>
        </row>
        <row r="965">
          <cell r="E965">
            <v>5</v>
          </cell>
          <cell r="F965">
            <v>530.34</v>
          </cell>
          <cell r="N965">
            <v>2651.7</v>
          </cell>
        </row>
        <row r="966">
          <cell r="E966">
            <v>5</v>
          </cell>
          <cell r="F966">
            <v>364.42</v>
          </cell>
          <cell r="N966">
            <v>1822.1</v>
          </cell>
        </row>
        <row r="967">
          <cell r="E967">
            <v>4</v>
          </cell>
          <cell r="F967">
            <v>578.28</v>
          </cell>
          <cell r="N967">
            <v>2313.12</v>
          </cell>
        </row>
        <row r="968">
          <cell r="E968">
            <v>5</v>
          </cell>
          <cell r="F968">
            <v>280.52</v>
          </cell>
          <cell r="N968">
            <v>1402.6</v>
          </cell>
        </row>
        <row r="969">
          <cell r="E969">
            <v>5</v>
          </cell>
          <cell r="F969">
            <v>638.91999999999996</v>
          </cell>
          <cell r="N969">
            <v>3194.6</v>
          </cell>
        </row>
        <row r="970">
          <cell r="E970">
            <v>4</v>
          </cell>
          <cell r="F970">
            <v>412.2</v>
          </cell>
          <cell r="N970">
            <v>1648.8</v>
          </cell>
        </row>
        <row r="971">
          <cell r="E971">
            <v>1</v>
          </cell>
          <cell r="F971">
            <v>440.34</v>
          </cell>
          <cell r="N971">
            <v>440.34</v>
          </cell>
        </row>
        <row r="972">
          <cell r="E972">
            <v>1</v>
          </cell>
          <cell r="F972">
            <v>627.15</v>
          </cell>
          <cell r="N972">
            <v>627.15</v>
          </cell>
        </row>
        <row r="973">
          <cell r="E973">
            <v>2</v>
          </cell>
          <cell r="F973">
            <v>605.26</v>
          </cell>
          <cell r="N973">
            <v>1210.52</v>
          </cell>
        </row>
        <row r="974">
          <cell r="E974">
            <v>1</v>
          </cell>
          <cell r="F974">
            <v>90.27</v>
          </cell>
          <cell r="N974">
            <v>90.27</v>
          </cell>
        </row>
        <row r="975">
          <cell r="E975">
            <v>5</v>
          </cell>
          <cell r="F975">
            <v>230.77</v>
          </cell>
          <cell r="N975">
            <v>1153.8499999999999</v>
          </cell>
        </row>
        <row r="976">
          <cell r="E976">
            <v>5</v>
          </cell>
          <cell r="F976">
            <v>266.77999999999997</v>
          </cell>
          <cell r="N976">
            <v>1333.9</v>
          </cell>
        </row>
        <row r="977">
          <cell r="E977">
            <v>1</v>
          </cell>
          <cell r="F977">
            <v>105.92</v>
          </cell>
          <cell r="N977">
            <v>105.92</v>
          </cell>
        </row>
        <row r="978">
          <cell r="E978">
            <v>3</v>
          </cell>
          <cell r="F978">
            <v>589.29999999999995</v>
          </cell>
          <cell r="N978">
            <v>1767.9</v>
          </cell>
        </row>
        <row r="979">
          <cell r="E979">
            <v>4</v>
          </cell>
          <cell r="F979">
            <v>649.47</v>
          </cell>
          <cell r="N979">
            <v>2597.88</v>
          </cell>
        </row>
        <row r="980">
          <cell r="E980">
            <v>4</v>
          </cell>
          <cell r="F980">
            <v>107.49</v>
          </cell>
          <cell r="N980">
            <v>429.96</v>
          </cell>
        </row>
        <row r="981">
          <cell r="E981">
            <v>3</v>
          </cell>
          <cell r="F981">
            <v>669.06</v>
          </cell>
          <cell r="N981">
            <v>2007.18</v>
          </cell>
        </row>
        <row r="982">
          <cell r="E982">
            <v>3</v>
          </cell>
          <cell r="F982">
            <v>69.650000000000006</v>
          </cell>
          <cell r="N982">
            <v>208.95</v>
          </cell>
        </row>
        <row r="983">
          <cell r="E983">
            <v>4</v>
          </cell>
          <cell r="F983">
            <v>136.83000000000001</v>
          </cell>
          <cell r="N983">
            <v>547.32000000000005</v>
          </cell>
        </row>
        <row r="984">
          <cell r="E984">
            <v>1</v>
          </cell>
          <cell r="F984">
            <v>304.11</v>
          </cell>
          <cell r="N984">
            <v>304.11</v>
          </cell>
        </row>
        <row r="985">
          <cell r="E985">
            <v>4</v>
          </cell>
          <cell r="F985">
            <v>296.27999999999997</v>
          </cell>
          <cell r="N985">
            <v>1185.1199999999999</v>
          </cell>
        </row>
        <row r="986">
          <cell r="E986">
            <v>1</v>
          </cell>
          <cell r="F986">
            <v>77.64</v>
          </cell>
          <cell r="N986">
            <v>77.64</v>
          </cell>
        </row>
        <row r="987">
          <cell r="E987">
            <v>1</v>
          </cell>
          <cell r="F987">
            <v>243.71</v>
          </cell>
          <cell r="N987">
            <v>243.71</v>
          </cell>
        </row>
        <row r="988">
          <cell r="E988">
            <v>4</v>
          </cell>
          <cell r="F988">
            <v>644.96</v>
          </cell>
          <cell r="N988">
            <v>2579.84</v>
          </cell>
        </row>
        <row r="989">
          <cell r="E989">
            <v>5</v>
          </cell>
          <cell r="F989">
            <v>283.73</v>
          </cell>
          <cell r="N989">
            <v>1418.65</v>
          </cell>
        </row>
        <row r="990">
          <cell r="E990">
            <v>2</v>
          </cell>
          <cell r="F990">
            <v>629.55999999999995</v>
          </cell>
          <cell r="N990">
            <v>1259.1199999999999</v>
          </cell>
        </row>
        <row r="991">
          <cell r="E991">
            <v>4</v>
          </cell>
          <cell r="F991">
            <v>246.11</v>
          </cell>
          <cell r="N991">
            <v>984.44</v>
          </cell>
        </row>
        <row r="992">
          <cell r="E992">
            <v>2</v>
          </cell>
          <cell r="F992">
            <v>418.26</v>
          </cell>
          <cell r="N992">
            <v>836.52</v>
          </cell>
        </row>
        <row r="993">
          <cell r="E993">
            <v>5</v>
          </cell>
          <cell r="F993">
            <v>127.18</v>
          </cell>
          <cell r="N993">
            <v>635.90000000000009</v>
          </cell>
        </row>
        <row r="994">
          <cell r="E994">
            <v>3</v>
          </cell>
          <cell r="F994">
            <v>586.21</v>
          </cell>
          <cell r="N994">
            <v>1758.63</v>
          </cell>
        </row>
        <row r="995">
          <cell r="E995">
            <v>3</v>
          </cell>
          <cell r="F995">
            <v>267.45</v>
          </cell>
          <cell r="N995">
            <v>802.34999999999991</v>
          </cell>
        </row>
        <row r="996">
          <cell r="E996">
            <v>4</v>
          </cell>
          <cell r="F996">
            <v>615.65</v>
          </cell>
          <cell r="N996">
            <v>2462.6</v>
          </cell>
        </row>
        <row r="997">
          <cell r="E997">
            <v>2</v>
          </cell>
          <cell r="F997">
            <v>113.29</v>
          </cell>
          <cell r="N997">
            <v>226.58</v>
          </cell>
        </row>
        <row r="998">
          <cell r="E998">
            <v>4</v>
          </cell>
          <cell r="F998">
            <v>473.86</v>
          </cell>
          <cell r="N998">
            <v>1895.44</v>
          </cell>
        </row>
        <row r="999">
          <cell r="E999">
            <v>3</v>
          </cell>
          <cell r="F999">
            <v>444.75</v>
          </cell>
          <cell r="N999">
            <v>1334.25</v>
          </cell>
        </row>
        <row r="1000">
          <cell r="E1000">
            <v>2</v>
          </cell>
          <cell r="F1000">
            <v>183.67</v>
          </cell>
          <cell r="N1000">
            <v>367.34</v>
          </cell>
        </row>
        <row r="1001">
          <cell r="E1001">
            <v>1</v>
          </cell>
          <cell r="F1001">
            <v>483.38</v>
          </cell>
          <cell r="N1001">
            <v>483.38</v>
          </cell>
        </row>
        <row r="1002">
          <cell r="E1002">
            <v>5</v>
          </cell>
          <cell r="F1002">
            <v>260.93</v>
          </cell>
          <cell r="N1002">
            <v>1304.6500000000001</v>
          </cell>
        </row>
        <row r="1003">
          <cell r="E1003">
            <v>2</v>
          </cell>
          <cell r="F1003">
            <v>253.68</v>
          </cell>
          <cell r="N1003">
            <v>507.36</v>
          </cell>
        </row>
        <row r="1004">
          <cell r="E1004">
            <v>4</v>
          </cell>
          <cell r="F1004">
            <v>699.88</v>
          </cell>
          <cell r="N1004">
            <v>2799.52</v>
          </cell>
        </row>
        <row r="1005">
          <cell r="E1005">
            <v>5</v>
          </cell>
          <cell r="F1005">
            <v>319.97000000000003</v>
          </cell>
          <cell r="N1005">
            <v>1599.85</v>
          </cell>
        </row>
        <row r="1006">
          <cell r="E1006">
            <v>4</v>
          </cell>
          <cell r="F1006">
            <v>246.91</v>
          </cell>
          <cell r="N1006">
            <v>987.64</v>
          </cell>
        </row>
        <row r="1007">
          <cell r="E1007">
            <v>3</v>
          </cell>
          <cell r="F1007">
            <v>392.85</v>
          </cell>
          <cell r="N1007">
            <v>1178.55</v>
          </cell>
        </row>
        <row r="1008">
          <cell r="E1008">
            <v>5</v>
          </cell>
          <cell r="F1008">
            <v>420.98</v>
          </cell>
          <cell r="N1008">
            <v>2104.9</v>
          </cell>
        </row>
        <row r="1009">
          <cell r="E1009">
            <v>2</v>
          </cell>
          <cell r="F1009">
            <v>73.260000000000005</v>
          </cell>
          <cell r="N1009">
            <v>146.52000000000001</v>
          </cell>
        </row>
        <row r="1010">
          <cell r="E1010">
            <v>3</v>
          </cell>
          <cell r="F1010">
            <v>410.88</v>
          </cell>
          <cell r="N1010">
            <v>1232.6400000000001</v>
          </cell>
        </row>
        <row r="1011">
          <cell r="E1011">
            <v>2</v>
          </cell>
          <cell r="F1011">
            <v>176.46</v>
          </cell>
          <cell r="N1011">
            <v>352.92</v>
          </cell>
        </row>
        <row r="1012">
          <cell r="E1012">
            <v>3</v>
          </cell>
          <cell r="F1012">
            <v>659.57</v>
          </cell>
          <cell r="N1012">
            <v>1978.71</v>
          </cell>
        </row>
        <row r="1013">
          <cell r="E1013">
            <v>2</v>
          </cell>
          <cell r="F1013">
            <v>478.36</v>
          </cell>
          <cell r="N1013">
            <v>956.72</v>
          </cell>
        </row>
        <row r="1014">
          <cell r="E1014">
            <v>4</v>
          </cell>
          <cell r="F1014">
            <v>30.05</v>
          </cell>
          <cell r="N1014">
            <v>120.2</v>
          </cell>
        </row>
        <row r="1015">
          <cell r="E1015">
            <v>4</v>
          </cell>
          <cell r="F1015">
            <v>300.56</v>
          </cell>
          <cell r="N1015">
            <v>1202.24</v>
          </cell>
        </row>
        <row r="1016">
          <cell r="E1016">
            <v>5</v>
          </cell>
          <cell r="F1016">
            <v>226.45</v>
          </cell>
          <cell r="N1016">
            <v>1132.25</v>
          </cell>
        </row>
        <row r="1017">
          <cell r="E1017">
            <v>2</v>
          </cell>
          <cell r="F1017">
            <v>349.4</v>
          </cell>
          <cell r="N1017">
            <v>698.8</v>
          </cell>
        </row>
        <row r="1018">
          <cell r="E1018">
            <v>5</v>
          </cell>
          <cell r="F1018">
            <v>268.77999999999997</v>
          </cell>
          <cell r="N1018">
            <v>1343.9</v>
          </cell>
        </row>
        <row r="1019">
          <cell r="E1019">
            <v>2</v>
          </cell>
          <cell r="F1019">
            <v>680.85</v>
          </cell>
          <cell r="N1019">
            <v>1361.7</v>
          </cell>
        </row>
        <row r="1020">
          <cell r="E1020">
            <v>3</v>
          </cell>
          <cell r="F1020">
            <v>182.48</v>
          </cell>
          <cell r="N1020">
            <v>547.43999999999994</v>
          </cell>
        </row>
        <row r="1021">
          <cell r="E1021">
            <v>1</v>
          </cell>
          <cell r="F1021">
            <v>277.08999999999997</v>
          </cell>
          <cell r="N1021">
            <v>277.08999999999997</v>
          </cell>
        </row>
        <row r="1022">
          <cell r="E1022">
            <v>2</v>
          </cell>
          <cell r="F1022">
            <v>26.5</v>
          </cell>
          <cell r="N1022">
            <v>53</v>
          </cell>
        </row>
        <row r="1023">
          <cell r="E1023">
            <v>3</v>
          </cell>
          <cell r="F1023">
            <v>315.27</v>
          </cell>
          <cell r="N1023">
            <v>945.81</v>
          </cell>
        </row>
        <row r="1024">
          <cell r="E1024">
            <v>3</v>
          </cell>
          <cell r="F1024">
            <v>450.98</v>
          </cell>
          <cell r="N1024">
            <v>1352.94</v>
          </cell>
        </row>
        <row r="1025">
          <cell r="E1025">
            <v>5</v>
          </cell>
          <cell r="F1025">
            <v>233.67</v>
          </cell>
          <cell r="N1025">
            <v>1168.3499999999999</v>
          </cell>
        </row>
        <row r="1026">
          <cell r="E1026">
            <v>3</v>
          </cell>
          <cell r="F1026">
            <v>367.75</v>
          </cell>
          <cell r="N1026">
            <v>1103.25</v>
          </cell>
        </row>
        <row r="1027">
          <cell r="E1027">
            <v>1</v>
          </cell>
          <cell r="F1027">
            <v>23.53</v>
          </cell>
          <cell r="N1027">
            <v>23.53</v>
          </cell>
        </row>
        <row r="1028">
          <cell r="E1028">
            <v>1</v>
          </cell>
          <cell r="F1028">
            <v>677.48</v>
          </cell>
          <cell r="N1028">
            <v>677.48</v>
          </cell>
        </row>
        <row r="1029">
          <cell r="E1029">
            <v>4</v>
          </cell>
          <cell r="F1029">
            <v>554.83000000000004</v>
          </cell>
          <cell r="N1029">
            <v>2219.3200000000002</v>
          </cell>
        </row>
        <row r="1030">
          <cell r="E1030">
            <v>4</v>
          </cell>
          <cell r="F1030">
            <v>440.31</v>
          </cell>
          <cell r="N1030">
            <v>1761.24</v>
          </cell>
        </row>
        <row r="1031">
          <cell r="E1031">
            <v>1</v>
          </cell>
          <cell r="F1031">
            <v>87.06</v>
          </cell>
          <cell r="N1031">
            <v>87.06</v>
          </cell>
        </row>
        <row r="1032">
          <cell r="E1032">
            <v>4</v>
          </cell>
          <cell r="F1032">
            <v>245.28</v>
          </cell>
          <cell r="N1032">
            <v>981.12</v>
          </cell>
        </row>
        <row r="1033">
          <cell r="E1033">
            <v>5</v>
          </cell>
          <cell r="F1033">
            <v>664.51</v>
          </cell>
          <cell r="N1033">
            <v>3322.55</v>
          </cell>
        </row>
        <row r="1034">
          <cell r="E1034">
            <v>1</v>
          </cell>
          <cell r="F1034">
            <v>618.67999999999995</v>
          </cell>
          <cell r="N1034">
            <v>618.67999999999995</v>
          </cell>
        </row>
        <row r="1035">
          <cell r="E1035">
            <v>1</v>
          </cell>
          <cell r="F1035">
            <v>370.85</v>
          </cell>
          <cell r="N1035">
            <v>370.85</v>
          </cell>
        </row>
        <row r="1036">
          <cell r="E1036">
            <v>4</v>
          </cell>
          <cell r="F1036">
            <v>517.98</v>
          </cell>
          <cell r="N1036">
            <v>2071.92</v>
          </cell>
        </row>
        <row r="1037">
          <cell r="E1037">
            <v>4</v>
          </cell>
          <cell r="F1037">
            <v>506.11</v>
          </cell>
          <cell r="N1037">
            <v>2024.44</v>
          </cell>
        </row>
        <row r="1038">
          <cell r="E1038">
            <v>3</v>
          </cell>
          <cell r="F1038">
            <v>413.83</v>
          </cell>
          <cell r="N1038">
            <v>1241.49</v>
          </cell>
        </row>
        <row r="1039">
          <cell r="E1039">
            <v>1</v>
          </cell>
          <cell r="F1039">
            <v>249.81</v>
          </cell>
          <cell r="N1039">
            <v>249.81</v>
          </cell>
        </row>
        <row r="1040">
          <cell r="E1040">
            <v>3</v>
          </cell>
          <cell r="F1040">
            <v>362.53</v>
          </cell>
          <cell r="N1040">
            <v>1087.5899999999999</v>
          </cell>
        </row>
        <row r="1041">
          <cell r="E1041">
            <v>2</v>
          </cell>
          <cell r="F1041">
            <v>299.23</v>
          </cell>
          <cell r="N1041">
            <v>598.46</v>
          </cell>
        </row>
        <row r="1042">
          <cell r="E1042">
            <v>1</v>
          </cell>
          <cell r="F1042">
            <v>536.07000000000005</v>
          </cell>
          <cell r="N1042">
            <v>536.07000000000005</v>
          </cell>
        </row>
        <row r="1043">
          <cell r="E1043">
            <v>4</v>
          </cell>
          <cell r="F1043">
            <v>558.9</v>
          </cell>
          <cell r="N1043">
            <v>2235.6</v>
          </cell>
        </row>
        <row r="1044">
          <cell r="E1044">
            <v>2</v>
          </cell>
          <cell r="F1044">
            <v>409.75</v>
          </cell>
          <cell r="N1044">
            <v>819.5</v>
          </cell>
        </row>
        <row r="1045">
          <cell r="E1045">
            <v>2</v>
          </cell>
          <cell r="F1045">
            <v>179.96</v>
          </cell>
          <cell r="N1045">
            <v>359.92</v>
          </cell>
        </row>
        <row r="1046">
          <cell r="E1046">
            <v>1</v>
          </cell>
          <cell r="F1046">
            <v>38.49</v>
          </cell>
          <cell r="N1046">
            <v>38.49</v>
          </cell>
        </row>
        <row r="1047">
          <cell r="E1047">
            <v>5</v>
          </cell>
          <cell r="F1047">
            <v>316.39999999999998</v>
          </cell>
          <cell r="N1047">
            <v>1582</v>
          </cell>
        </row>
        <row r="1048">
          <cell r="E1048">
            <v>3</v>
          </cell>
          <cell r="F1048">
            <v>547.15</v>
          </cell>
          <cell r="N1048">
            <v>1641.45</v>
          </cell>
        </row>
        <row r="1049">
          <cell r="E1049">
            <v>4</v>
          </cell>
          <cell r="F1049">
            <v>540.34</v>
          </cell>
          <cell r="N1049">
            <v>2161.36</v>
          </cell>
        </row>
        <row r="1050">
          <cell r="E1050">
            <v>4</v>
          </cell>
          <cell r="F1050">
            <v>73.650000000000006</v>
          </cell>
          <cell r="N1050">
            <v>294.60000000000002</v>
          </cell>
        </row>
        <row r="1051">
          <cell r="E1051">
            <v>5</v>
          </cell>
          <cell r="F1051">
            <v>391.86</v>
          </cell>
          <cell r="N1051">
            <v>1959.3</v>
          </cell>
        </row>
        <row r="1052">
          <cell r="E1052">
            <v>5</v>
          </cell>
          <cell r="F1052">
            <v>69.7</v>
          </cell>
          <cell r="N1052">
            <v>348.5</v>
          </cell>
        </row>
        <row r="1053">
          <cell r="E1053">
            <v>5</v>
          </cell>
          <cell r="F1053">
            <v>26.43</v>
          </cell>
          <cell r="N1053">
            <v>132.15</v>
          </cell>
        </row>
        <row r="1054">
          <cell r="E1054">
            <v>1</v>
          </cell>
          <cell r="F1054">
            <v>531.74</v>
          </cell>
          <cell r="N1054">
            <v>531.74</v>
          </cell>
        </row>
        <row r="1055">
          <cell r="E1055">
            <v>2</v>
          </cell>
          <cell r="F1055">
            <v>496.62</v>
          </cell>
          <cell r="N1055">
            <v>993.24</v>
          </cell>
        </row>
        <row r="1056">
          <cell r="E1056">
            <v>1</v>
          </cell>
          <cell r="F1056">
            <v>660.66</v>
          </cell>
          <cell r="N1056">
            <v>660.66</v>
          </cell>
        </row>
        <row r="1057">
          <cell r="E1057">
            <v>4</v>
          </cell>
          <cell r="F1057">
            <v>274.82</v>
          </cell>
          <cell r="N1057">
            <v>1099.28</v>
          </cell>
        </row>
        <row r="1058">
          <cell r="E1058">
            <v>2</v>
          </cell>
          <cell r="F1058">
            <v>486.35</v>
          </cell>
          <cell r="N1058">
            <v>972.7</v>
          </cell>
        </row>
        <row r="1059">
          <cell r="E1059">
            <v>3</v>
          </cell>
          <cell r="F1059">
            <v>428.88</v>
          </cell>
          <cell r="N1059">
            <v>1286.6400000000001</v>
          </cell>
        </row>
        <row r="1060">
          <cell r="E1060">
            <v>2</v>
          </cell>
          <cell r="F1060">
            <v>412.14</v>
          </cell>
          <cell r="N1060">
            <v>824.28</v>
          </cell>
        </row>
        <row r="1061">
          <cell r="E1061">
            <v>1</v>
          </cell>
          <cell r="F1061">
            <v>265.64</v>
          </cell>
          <cell r="N1061">
            <v>265.64</v>
          </cell>
        </row>
        <row r="1062">
          <cell r="E1062">
            <v>2</v>
          </cell>
          <cell r="F1062">
            <v>273.43</v>
          </cell>
          <cell r="N1062">
            <v>546.86</v>
          </cell>
        </row>
        <row r="1063">
          <cell r="E1063">
            <v>5</v>
          </cell>
          <cell r="F1063">
            <v>131.69999999999999</v>
          </cell>
          <cell r="N1063">
            <v>658.5</v>
          </cell>
        </row>
        <row r="1064">
          <cell r="E1064">
            <v>5</v>
          </cell>
          <cell r="F1064">
            <v>85.52</v>
          </cell>
          <cell r="N1064">
            <v>427.6</v>
          </cell>
        </row>
        <row r="1065">
          <cell r="E1065">
            <v>2</v>
          </cell>
          <cell r="F1065">
            <v>320.68</v>
          </cell>
          <cell r="N1065">
            <v>641.36</v>
          </cell>
        </row>
        <row r="1066">
          <cell r="E1066">
            <v>4</v>
          </cell>
          <cell r="F1066">
            <v>198.81</v>
          </cell>
          <cell r="N1066">
            <v>795.24</v>
          </cell>
        </row>
        <row r="1067">
          <cell r="E1067">
            <v>5</v>
          </cell>
          <cell r="F1067">
            <v>666.8</v>
          </cell>
          <cell r="N1067">
            <v>3334</v>
          </cell>
        </row>
        <row r="1068">
          <cell r="E1068">
            <v>1</v>
          </cell>
          <cell r="F1068">
            <v>355.09</v>
          </cell>
          <cell r="N1068">
            <v>355.09</v>
          </cell>
        </row>
        <row r="1069">
          <cell r="E1069">
            <v>2</v>
          </cell>
          <cell r="F1069">
            <v>316.2</v>
          </cell>
          <cell r="N1069">
            <v>632.4</v>
          </cell>
        </row>
        <row r="1070">
          <cell r="E1070">
            <v>1</v>
          </cell>
          <cell r="F1070">
            <v>133.38999999999999</v>
          </cell>
          <cell r="N1070">
            <v>133.38999999999999</v>
          </cell>
        </row>
        <row r="1071">
          <cell r="E1071">
            <v>1</v>
          </cell>
          <cell r="F1071">
            <v>454.23</v>
          </cell>
          <cell r="N1071">
            <v>454.23</v>
          </cell>
        </row>
        <row r="1072">
          <cell r="E1072">
            <v>4</v>
          </cell>
          <cell r="F1072">
            <v>491.29</v>
          </cell>
          <cell r="N1072">
            <v>1965.16</v>
          </cell>
        </row>
        <row r="1073">
          <cell r="E1073">
            <v>2</v>
          </cell>
          <cell r="F1073">
            <v>255.14</v>
          </cell>
          <cell r="N1073">
            <v>510.28</v>
          </cell>
        </row>
        <row r="1074">
          <cell r="E1074">
            <v>1</v>
          </cell>
          <cell r="F1074">
            <v>392.61</v>
          </cell>
          <cell r="N1074">
            <v>392.61</v>
          </cell>
        </row>
        <row r="1075">
          <cell r="E1075">
            <v>4</v>
          </cell>
          <cell r="F1075">
            <v>362.06</v>
          </cell>
          <cell r="N1075">
            <v>1448.24</v>
          </cell>
        </row>
        <row r="1076">
          <cell r="E1076">
            <v>1</v>
          </cell>
          <cell r="F1076">
            <v>222.73</v>
          </cell>
          <cell r="N1076">
            <v>222.73</v>
          </cell>
        </row>
        <row r="1077">
          <cell r="E1077">
            <v>2</v>
          </cell>
          <cell r="F1077">
            <v>552.63</v>
          </cell>
          <cell r="N1077">
            <v>1105.26</v>
          </cell>
        </row>
        <row r="1078">
          <cell r="E1078">
            <v>4</v>
          </cell>
          <cell r="F1078">
            <v>686.61</v>
          </cell>
          <cell r="N1078">
            <v>2746.44</v>
          </cell>
        </row>
        <row r="1079">
          <cell r="E1079">
            <v>3</v>
          </cell>
          <cell r="F1079">
            <v>305.16000000000003</v>
          </cell>
          <cell r="N1079">
            <v>915.48</v>
          </cell>
        </row>
        <row r="1080">
          <cell r="E1080">
            <v>1</v>
          </cell>
          <cell r="F1080">
            <v>41.09</v>
          </cell>
          <cell r="N1080">
            <v>41.09</v>
          </cell>
        </row>
        <row r="1081">
          <cell r="E1081">
            <v>5</v>
          </cell>
          <cell r="F1081">
            <v>634</v>
          </cell>
          <cell r="N1081">
            <v>3170</v>
          </cell>
        </row>
        <row r="1082">
          <cell r="E1082">
            <v>5</v>
          </cell>
          <cell r="F1082">
            <v>464.74</v>
          </cell>
          <cell r="N1082">
            <v>2323.6999999999998</v>
          </cell>
        </row>
        <row r="1083">
          <cell r="E1083">
            <v>4</v>
          </cell>
          <cell r="F1083">
            <v>425.6</v>
          </cell>
          <cell r="N1083">
            <v>1702.4</v>
          </cell>
        </row>
        <row r="1084">
          <cell r="E1084">
            <v>3</v>
          </cell>
          <cell r="F1084">
            <v>573.22</v>
          </cell>
          <cell r="N1084">
            <v>1719.66</v>
          </cell>
        </row>
        <row r="1085">
          <cell r="E1085">
            <v>1</v>
          </cell>
          <cell r="F1085">
            <v>123.28</v>
          </cell>
          <cell r="N1085">
            <v>123.28</v>
          </cell>
        </row>
        <row r="1086">
          <cell r="E1086">
            <v>1</v>
          </cell>
          <cell r="F1086">
            <v>70.819999999999993</v>
          </cell>
          <cell r="N1086">
            <v>70.819999999999993</v>
          </cell>
        </row>
        <row r="1087">
          <cell r="E1087">
            <v>2</v>
          </cell>
          <cell r="F1087">
            <v>646.69000000000005</v>
          </cell>
          <cell r="N1087">
            <v>1293.3800000000001</v>
          </cell>
        </row>
        <row r="1088">
          <cell r="E1088">
            <v>2</v>
          </cell>
          <cell r="F1088">
            <v>513.41999999999996</v>
          </cell>
          <cell r="N1088">
            <v>1026.8399999999999</v>
          </cell>
        </row>
        <row r="1089">
          <cell r="E1089">
            <v>4</v>
          </cell>
          <cell r="F1089">
            <v>693.07</v>
          </cell>
          <cell r="N1089">
            <v>2772.28</v>
          </cell>
        </row>
        <row r="1090">
          <cell r="E1090">
            <v>3</v>
          </cell>
          <cell r="F1090">
            <v>491.43</v>
          </cell>
          <cell r="N1090">
            <v>1474.29</v>
          </cell>
        </row>
        <row r="1091">
          <cell r="E1091">
            <v>2</v>
          </cell>
          <cell r="F1091">
            <v>599.74</v>
          </cell>
          <cell r="N1091">
            <v>1199.48</v>
          </cell>
        </row>
        <row r="1092">
          <cell r="E1092">
            <v>2</v>
          </cell>
          <cell r="F1092">
            <v>650.25</v>
          </cell>
          <cell r="N1092">
            <v>1300.5</v>
          </cell>
        </row>
        <row r="1093">
          <cell r="E1093">
            <v>3</v>
          </cell>
          <cell r="F1093">
            <v>209.48</v>
          </cell>
          <cell r="N1093">
            <v>628.43999999999994</v>
          </cell>
        </row>
        <row r="1094">
          <cell r="E1094">
            <v>5</v>
          </cell>
          <cell r="F1094">
            <v>209.2</v>
          </cell>
          <cell r="N1094">
            <v>1046</v>
          </cell>
        </row>
        <row r="1095">
          <cell r="E1095">
            <v>4</v>
          </cell>
          <cell r="F1095">
            <v>197.36</v>
          </cell>
          <cell r="N1095">
            <v>789.44</v>
          </cell>
        </row>
        <row r="1096">
          <cell r="E1096">
            <v>4</v>
          </cell>
          <cell r="F1096">
            <v>648.91</v>
          </cell>
          <cell r="N1096">
            <v>2595.64</v>
          </cell>
        </row>
        <row r="1097">
          <cell r="E1097">
            <v>2</v>
          </cell>
          <cell r="F1097">
            <v>441.54</v>
          </cell>
          <cell r="N1097">
            <v>883.08</v>
          </cell>
        </row>
        <row r="1098">
          <cell r="E1098">
            <v>2</v>
          </cell>
          <cell r="F1098">
            <v>464.92</v>
          </cell>
          <cell r="N1098">
            <v>929.84</v>
          </cell>
        </row>
        <row r="1099">
          <cell r="E1099">
            <v>5</v>
          </cell>
          <cell r="F1099">
            <v>506.45</v>
          </cell>
          <cell r="N1099">
            <v>2532.25</v>
          </cell>
        </row>
        <row r="1100">
          <cell r="E1100">
            <v>4</v>
          </cell>
          <cell r="F1100">
            <v>255.86</v>
          </cell>
          <cell r="N1100">
            <v>1023.44</v>
          </cell>
        </row>
        <row r="1101">
          <cell r="E1101">
            <v>2</v>
          </cell>
          <cell r="F1101">
            <v>125.23</v>
          </cell>
          <cell r="N1101">
            <v>250.46</v>
          </cell>
        </row>
        <row r="1102">
          <cell r="E1102">
            <v>5</v>
          </cell>
          <cell r="F1102">
            <v>38.11</v>
          </cell>
          <cell r="N1102">
            <v>190.55</v>
          </cell>
        </row>
        <row r="1103">
          <cell r="E1103">
            <v>3</v>
          </cell>
          <cell r="F1103">
            <v>161.97</v>
          </cell>
          <cell r="N1103">
            <v>485.91</v>
          </cell>
        </row>
        <row r="1104">
          <cell r="E1104">
            <v>4</v>
          </cell>
          <cell r="F1104">
            <v>347.17</v>
          </cell>
          <cell r="N1104">
            <v>1388.68</v>
          </cell>
        </row>
        <row r="1105">
          <cell r="E1105">
            <v>4</v>
          </cell>
          <cell r="F1105">
            <v>276.32</v>
          </cell>
          <cell r="N1105">
            <v>1105.28</v>
          </cell>
        </row>
        <row r="1106">
          <cell r="E1106">
            <v>4</v>
          </cell>
          <cell r="F1106">
            <v>314.76</v>
          </cell>
          <cell r="N1106">
            <v>1259.04</v>
          </cell>
        </row>
        <row r="1107">
          <cell r="E1107">
            <v>3</v>
          </cell>
          <cell r="F1107">
            <v>475.69</v>
          </cell>
          <cell r="N1107">
            <v>1427.07</v>
          </cell>
        </row>
        <row r="1108">
          <cell r="E1108">
            <v>1</v>
          </cell>
          <cell r="F1108">
            <v>372.8</v>
          </cell>
          <cell r="N1108">
            <v>372.8</v>
          </cell>
        </row>
        <row r="1109">
          <cell r="E1109">
            <v>2</v>
          </cell>
          <cell r="F1109">
            <v>63.21</v>
          </cell>
          <cell r="N1109">
            <v>126.42</v>
          </cell>
        </row>
        <row r="1110">
          <cell r="E1110">
            <v>1</v>
          </cell>
          <cell r="F1110">
            <v>634.94000000000005</v>
          </cell>
          <cell r="N1110">
            <v>634.94000000000005</v>
          </cell>
        </row>
        <row r="1111">
          <cell r="E1111">
            <v>4</v>
          </cell>
          <cell r="F1111">
            <v>77.47</v>
          </cell>
          <cell r="N1111">
            <v>309.88</v>
          </cell>
        </row>
        <row r="1112">
          <cell r="E1112">
            <v>3</v>
          </cell>
          <cell r="F1112">
            <v>84.31</v>
          </cell>
          <cell r="N1112">
            <v>252.93</v>
          </cell>
        </row>
        <row r="1113">
          <cell r="E1113">
            <v>4</v>
          </cell>
          <cell r="F1113">
            <v>234.45</v>
          </cell>
          <cell r="N1113">
            <v>937.8</v>
          </cell>
        </row>
        <row r="1114">
          <cell r="E1114">
            <v>1</v>
          </cell>
          <cell r="F1114">
            <v>356.81</v>
          </cell>
          <cell r="N1114">
            <v>356.81</v>
          </cell>
        </row>
        <row r="1115">
          <cell r="E1115">
            <v>4</v>
          </cell>
          <cell r="F1115">
            <v>209.99</v>
          </cell>
          <cell r="N1115">
            <v>839.96</v>
          </cell>
        </row>
        <row r="1116">
          <cell r="E1116">
            <v>3</v>
          </cell>
          <cell r="F1116">
            <v>659.88</v>
          </cell>
          <cell r="N1116">
            <v>1979.64</v>
          </cell>
        </row>
        <row r="1117">
          <cell r="E1117">
            <v>2</v>
          </cell>
          <cell r="F1117">
            <v>336.32</v>
          </cell>
          <cell r="N1117">
            <v>672.64</v>
          </cell>
        </row>
        <row r="1118">
          <cell r="E1118">
            <v>2</v>
          </cell>
          <cell r="F1118">
            <v>531.49</v>
          </cell>
          <cell r="N1118">
            <v>1062.98</v>
          </cell>
        </row>
        <row r="1119">
          <cell r="E1119">
            <v>3</v>
          </cell>
          <cell r="F1119">
            <v>588.44000000000005</v>
          </cell>
          <cell r="N1119">
            <v>1765.32</v>
          </cell>
        </row>
        <row r="1120">
          <cell r="E1120">
            <v>3</v>
          </cell>
          <cell r="F1120">
            <v>251.48</v>
          </cell>
          <cell r="N1120">
            <v>754.43999999999994</v>
          </cell>
        </row>
        <row r="1121">
          <cell r="E1121">
            <v>1</v>
          </cell>
          <cell r="F1121">
            <v>684.65</v>
          </cell>
          <cell r="N1121">
            <v>684.65</v>
          </cell>
        </row>
        <row r="1122">
          <cell r="E1122">
            <v>1</v>
          </cell>
          <cell r="F1122">
            <v>195.86</v>
          </cell>
          <cell r="N1122">
            <v>195.86</v>
          </cell>
        </row>
        <row r="1123">
          <cell r="E1123">
            <v>3</v>
          </cell>
          <cell r="F1123">
            <v>50.34</v>
          </cell>
          <cell r="N1123">
            <v>151.02000000000001</v>
          </cell>
        </row>
        <row r="1124">
          <cell r="E1124">
            <v>5</v>
          </cell>
          <cell r="F1124">
            <v>678.19</v>
          </cell>
          <cell r="N1124">
            <v>3390.95</v>
          </cell>
        </row>
        <row r="1125">
          <cell r="E1125">
            <v>3</v>
          </cell>
          <cell r="F1125">
            <v>554.25</v>
          </cell>
          <cell r="N1125">
            <v>1662.75</v>
          </cell>
        </row>
        <row r="1126">
          <cell r="E1126">
            <v>4</v>
          </cell>
          <cell r="F1126">
            <v>576.87</v>
          </cell>
          <cell r="N1126">
            <v>2307.48</v>
          </cell>
        </row>
        <row r="1127">
          <cell r="E1127">
            <v>4</v>
          </cell>
          <cell r="F1127">
            <v>408.36</v>
          </cell>
          <cell r="N1127">
            <v>1633.44</v>
          </cell>
        </row>
        <row r="1128">
          <cell r="E1128">
            <v>5</v>
          </cell>
          <cell r="F1128">
            <v>190.11</v>
          </cell>
          <cell r="N1128">
            <v>950.55000000000007</v>
          </cell>
        </row>
        <row r="1129">
          <cell r="E1129">
            <v>3</v>
          </cell>
          <cell r="F1129">
            <v>602.75</v>
          </cell>
          <cell r="N1129">
            <v>1808.25</v>
          </cell>
        </row>
        <row r="1130">
          <cell r="E1130">
            <v>3</v>
          </cell>
          <cell r="F1130">
            <v>646.79</v>
          </cell>
          <cell r="N1130">
            <v>1940.37</v>
          </cell>
        </row>
        <row r="1131">
          <cell r="E1131">
            <v>4</v>
          </cell>
          <cell r="F1131">
            <v>418.71</v>
          </cell>
          <cell r="N1131">
            <v>1674.84</v>
          </cell>
        </row>
        <row r="1132">
          <cell r="E1132">
            <v>2</v>
          </cell>
          <cell r="F1132">
            <v>323.45</v>
          </cell>
          <cell r="N1132">
            <v>646.9</v>
          </cell>
        </row>
        <row r="1133">
          <cell r="E1133">
            <v>1</v>
          </cell>
          <cell r="F1133">
            <v>694.5</v>
          </cell>
          <cell r="N1133">
            <v>694.5</v>
          </cell>
        </row>
        <row r="1134">
          <cell r="E1134">
            <v>2</v>
          </cell>
          <cell r="F1134">
            <v>337.32</v>
          </cell>
          <cell r="N1134">
            <v>674.64</v>
          </cell>
        </row>
        <row r="1135">
          <cell r="E1135">
            <v>2</v>
          </cell>
          <cell r="F1135">
            <v>467.91</v>
          </cell>
          <cell r="N1135">
            <v>935.82</v>
          </cell>
        </row>
        <row r="1136">
          <cell r="E1136">
            <v>4</v>
          </cell>
          <cell r="F1136">
            <v>38.28</v>
          </cell>
          <cell r="N1136">
            <v>153.12</v>
          </cell>
        </row>
        <row r="1137">
          <cell r="E1137">
            <v>2</v>
          </cell>
          <cell r="F1137">
            <v>73.41</v>
          </cell>
          <cell r="N1137">
            <v>146.82</v>
          </cell>
        </row>
        <row r="1138">
          <cell r="E1138">
            <v>3</v>
          </cell>
          <cell r="F1138">
            <v>668.33</v>
          </cell>
          <cell r="N1138">
            <v>2004.99</v>
          </cell>
        </row>
        <row r="1139">
          <cell r="E1139">
            <v>4</v>
          </cell>
          <cell r="F1139">
            <v>410.21</v>
          </cell>
          <cell r="N1139">
            <v>1640.84</v>
          </cell>
        </row>
        <row r="1140">
          <cell r="E1140">
            <v>4</v>
          </cell>
          <cell r="F1140">
            <v>294.41000000000003</v>
          </cell>
          <cell r="N1140">
            <v>1177.6400000000001</v>
          </cell>
        </row>
        <row r="1141">
          <cell r="E1141">
            <v>3</v>
          </cell>
          <cell r="F1141">
            <v>501.82</v>
          </cell>
          <cell r="N1141">
            <v>1505.46</v>
          </cell>
        </row>
        <row r="1142">
          <cell r="E1142">
            <v>2</v>
          </cell>
          <cell r="F1142">
            <v>552.83000000000004</v>
          </cell>
          <cell r="N1142">
            <v>1105.6600000000001</v>
          </cell>
        </row>
        <row r="1143">
          <cell r="E1143">
            <v>3</v>
          </cell>
          <cell r="F1143">
            <v>498.66</v>
          </cell>
          <cell r="N1143">
            <v>1495.98</v>
          </cell>
        </row>
        <row r="1144">
          <cell r="E1144">
            <v>4</v>
          </cell>
          <cell r="F1144">
            <v>695.1</v>
          </cell>
          <cell r="N1144">
            <v>2780.4</v>
          </cell>
        </row>
        <row r="1145">
          <cell r="E1145">
            <v>1</v>
          </cell>
          <cell r="F1145">
            <v>381.61</v>
          </cell>
          <cell r="N1145">
            <v>381.61</v>
          </cell>
        </row>
        <row r="1146">
          <cell r="E1146">
            <v>5</v>
          </cell>
          <cell r="F1146">
            <v>507.94</v>
          </cell>
          <cell r="N1146">
            <v>2539.6999999999998</v>
          </cell>
        </row>
        <row r="1147">
          <cell r="E1147">
            <v>3</v>
          </cell>
          <cell r="F1147">
            <v>571.53</v>
          </cell>
          <cell r="N1147">
            <v>1714.59</v>
          </cell>
        </row>
        <row r="1148">
          <cell r="E1148">
            <v>5</v>
          </cell>
          <cell r="F1148">
            <v>421.44</v>
          </cell>
          <cell r="N1148">
            <v>2107.1999999999998</v>
          </cell>
        </row>
        <row r="1149">
          <cell r="E1149">
            <v>2</v>
          </cell>
          <cell r="F1149">
            <v>588.29999999999995</v>
          </cell>
          <cell r="N1149">
            <v>1176.5999999999999</v>
          </cell>
        </row>
        <row r="1150">
          <cell r="E1150">
            <v>1</v>
          </cell>
          <cell r="F1150">
            <v>355.15</v>
          </cell>
          <cell r="N1150">
            <v>355.15</v>
          </cell>
        </row>
        <row r="1151">
          <cell r="E1151">
            <v>2</v>
          </cell>
          <cell r="F1151">
            <v>695.29</v>
          </cell>
          <cell r="N1151">
            <v>1390.58</v>
          </cell>
        </row>
        <row r="1152">
          <cell r="E1152">
            <v>4</v>
          </cell>
          <cell r="F1152">
            <v>302.64999999999998</v>
          </cell>
          <cell r="N1152">
            <v>1210.5999999999999</v>
          </cell>
        </row>
        <row r="1153">
          <cell r="E1153">
            <v>2</v>
          </cell>
          <cell r="F1153">
            <v>608.04</v>
          </cell>
          <cell r="N1153">
            <v>1216.08</v>
          </cell>
        </row>
        <row r="1154">
          <cell r="E1154">
            <v>2</v>
          </cell>
          <cell r="F1154">
            <v>344.18</v>
          </cell>
          <cell r="N1154">
            <v>688.36</v>
          </cell>
        </row>
        <row r="1155">
          <cell r="E1155">
            <v>4</v>
          </cell>
          <cell r="F1155">
            <v>696.71</v>
          </cell>
          <cell r="N1155">
            <v>2786.84</v>
          </cell>
        </row>
        <row r="1156">
          <cell r="E1156">
            <v>3</v>
          </cell>
          <cell r="F1156">
            <v>198.63</v>
          </cell>
          <cell r="N1156">
            <v>595.89</v>
          </cell>
        </row>
        <row r="1157">
          <cell r="E1157">
            <v>4</v>
          </cell>
          <cell r="F1157">
            <v>534.57000000000005</v>
          </cell>
          <cell r="N1157">
            <v>2138.2800000000002</v>
          </cell>
        </row>
        <row r="1158">
          <cell r="E1158">
            <v>4</v>
          </cell>
          <cell r="F1158">
            <v>690.78</v>
          </cell>
          <cell r="N1158">
            <v>2763.12</v>
          </cell>
        </row>
        <row r="1159">
          <cell r="E1159">
            <v>3</v>
          </cell>
          <cell r="F1159">
            <v>301.55</v>
          </cell>
          <cell r="N1159">
            <v>904.65000000000009</v>
          </cell>
        </row>
        <row r="1160">
          <cell r="E1160">
            <v>4</v>
          </cell>
          <cell r="F1160">
            <v>27.42</v>
          </cell>
          <cell r="N1160">
            <v>109.68</v>
          </cell>
        </row>
        <row r="1161">
          <cell r="E1161">
            <v>4</v>
          </cell>
          <cell r="F1161">
            <v>466.7</v>
          </cell>
          <cell r="N1161">
            <v>1866.8</v>
          </cell>
        </row>
        <row r="1162">
          <cell r="E1162">
            <v>1</v>
          </cell>
          <cell r="F1162">
            <v>541.64</v>
          </cell>
          <cell r="N1162">
            <v>541.64</v>
          </cell>
        </row>
        <row r="1163">
          <cell r="E1163">
            <v>1</v>
          </cell>
          <cell r="F1163">
            <v>11.39</v>
          </cell>
          <cell r="N1163">
            <v>11.39</v>
          </cell>
        </row>
        <row r="1164">
          <cell r="E1164">
            <v>2</v>
          </cell>
          <cell r="F1164">
            <v>224.37</v>
          </cell>
          <cell r="N1164">
            <v>448.74</v>
          </cell>
        </row>
        <row r="1165">
          <cell r="E1165">
            <v>3</v>
          </cell>
          <cell r="F1165">
            <v>306.29000000000002</v>
          </cell>
          <cell r="N1165">
            <v>918.87000000000012</v>
          </cell>
        </row>
        <row r="1166">
          <cell r="E1166">
            <v>5</v>
          </cell>
          <cell r="F1166">
            <v>315.57</v>
          </cell>
          <cell r="N1166">
            <v>1577.85</v>
          </cell>
        </row>
        <row r="1167">
          <cell r="E1167">
            <v>3</v>
          </cell>
          <cell r="F1167">
            <v>223.79</v>
          </cell>
          <cell r="N1167">
            <v>671.37</v>
          </cell>
        </row>
        <row r="1168">
          <cell r="E1168">
            <v>3</v>
          </cell>
          <cell r="F1168">
            <v>324.47000000000003</v>
          </cell>
          <cell r="N1168">
            <v>973.41000000000008</v>
          </cell>
        </row>
        <row r="1169">
          <cell r="E1169">
            <v>2</v>
          </cell>
          <cell r="F1169">
            <v>92.87</v>
          </cell>
          <cell r="N1169">
            <v>185.74</v>
          </cell>
        </row>
        <row r="1170">
          <cell r="E1170">
            <v>2</v>
          </cell>
          <cell r="F1170">
            <v>331.42</v>
          </cell>
          <cell r="N1170">
            <v>662.84</v>
          </cell>
        </row>
        <row r="1171">
          <cell r="E1171">
            <v>1</v>
          </cell>
          <cell r="F1171">
            <v>525.42999999999995</v>
          </cell>
          <cell r="N1171">
            <v>525.42999999999995</v>
          </cell>
        </row>
        <row r="1172">
          <cell r="E1172">
            <v>2</v>
          </cell>
          <cell r="F1172">
            <v>697.19</v>
          </cell>
          <cell r="N1172">
            <v>1394.38</v>
          </cell>
        </row>
        <row r="1173">
          <cell r="E1173">
            <v>4</v>
          </cell>
          <cell r="F1173">
            <v>518.4</v>
          </cell>
          <cell r="N1173">
            <v>2073.6</v>
          </cell>
        </row>
        <row r="1174">
          <cell r="E1174">
            <v>3</v>
          </cell>
          <cell r="F1174">
            <v>131.96</v>
          </cell>
          <cell r="N1174">
            <v>395.88</v>
          </cell>
        </row>
        <row r="1175">
          <cell r="E1175">
            <v>1</v>
          </cell>
          <cell r="F1175">
            <v>208.36</v>
          </cell>
          <cell r="N1175">
            <v>208.36</v>
          </cell>
        </row>
        <row r="1176">
          <cell r="E1176">
            <v>3</v>
          </cell>
          <cell r="F1176">
            <v>222.34</v>
          </cell>
          <cell r="N1176">
            <v>667.02</v>
          </cell>
        </row>
        <row r="1177">
          <cell r="E1177">
            <v>3</v>
          </cell>
          <cell r="F1177">
            <v>91.74</v>
          </cell>
          <cell r="N1177">
            <v>275.22000000000003</v>
          </cell>
        </row>
        <row r="1178">
          <cell r="E1178">
            <v>2</v>
          </cell>
          <cell r="F1178">
            <v>213.83</v>
          </cell>
          <cell r="N1178">
            <v>427.66</v>
          </cell>
        </row>
        <row r="1179">
          <cell r="E1179">
            <v>1</v>
          </cell>
          <cell r="F1179">
            <v>127.55</v>
          </cell>
          <cell r="N1179">
            <v>127.55</v>
          </cell>
        </row>
        <row r="1180">
          <cell r="E1180">
            <v>1</v>
          </cell>
          <cell r="F1180">
            <v>70.239999999999995</v>
          </cell>
          <cell r="N1180">
            <v>70.239999999999995</v>
          </cell>
        </row>
        <row r="1181">
          <cell r="E1181">
            <v>5</v>
          </cell>
          <cell r="F1181">
            <v>518.54999999999995</v>
          </cell>
          <cell r="N1181">
            <v>2592.75</v>
          </cell>
        </row>
        <row r="1182">
          <cell r="E1182">
            <v>4</v>
          </cell>
          <cell r="F1182">
            <v>298.36</v>
          </cell>
          <cell r="N1182">
            <v>1193.44</v>
          </cell>
        </row>
        <row r="1183">
          <cell r="E1183">
            <v>3</v>
          </cell>
          <cell r="F1183">
            <v>158.74</v>
          </cell>
          <cell r="N1183">
            <v>476.22</v>
          </cell>
        </row>
        <row r="1184">
          <cell r="E1184">
            <v>2</v>
          </cell>
          <cell r="F1184">
            <v>420.29</v>
          </cell>
          <cell r="N1184">
            <v>840.58</v>
          </cell>
        </row>
        <row r="1185">
          <cell r="E1185">
            <v>1</v>
          </cell>
          <cell r="F1185">
            <v>281.52</v>
          </cell>
          <cell r="N1185">
            <v>281.52</v>
          </cell>
        </row>
        <row r="1186">
          <cell r="E1186">
            <v>1</v>
          </cell>
          <cell r="F1186">
            <v>204.08</v>
          </cell>
          <cell r="N1186">
            <v>204.08</v>
          </cell>
        </row>
        <row r="1187">
          <cell r="E1187">
            <v>1</v>
          </cell>
          <cell r="F1187">
            <v>343.31</v>
          </cell>
          <cell r="N1187">
            <v>343.31</v>
          </cell>
        </row>
        <row r="1188">
          <cell r="E1188">
            <v>1</v>
          </cell>
          <cell r="F1188">
            <v>163.32</v>
          </cell>
          <cell r="N1188">
            <v>163.32</v>
          </cell>
        </row>
        <row r="1189">
          <cell r="E1189">
            <v>2</v>
          </cell>
          <cell r="F1189">
            <v>184.6</v>
          </cell>
          <cell r="N1189">
            <v>369.2</v>
          </cell>
        </row>
        <row r="1190">
          <cell r="E1190">
            <v>2</v>
          </cell>
          <cell r="F1190">
            <v>371.29</v>
          </cell>
          <cell r="N1190">
            <v>742.58</v>
          </cell>
        </row>
        <row r="1191">
          <cell r="E1191">
            <v>5</v>
          </cell>
          <cell r="F1191">
            <v>389.22</v>
          </cell>
          <cell r="N1191">
            <v>1946.1</v>
          </cell>
        </row>
        <row r="1192">
          <cell r="E1192">
            <v>3</v>
          </cell>
          <cell r="F1192">
            <v>616.39</v>
          </cell>
          <cell r="N1192">
            <v>1849.17</v>
          </cell>
        </row>
        <row r="1193">
          <cell r="E1193">
            <v>4</v>
          </cell>
          <cell r="F1193">
            <v>376.43</v>
          </cell>
          <cell r="N1193">
            <v>1505.72</v>
          </cell>
        </row>
        <row r="1194">
          <cell r="E1194">
            <v>3</v>
          </cell>
          <cell r="F1194">
            <v>432.85</v>
          </cell>
          <cell r="N1194">
            <v>1298.55</v>
          </cell>
        </row>
        <row r="1195">
          <cell r="E1195">
            <v>1</v>
          </cell>
          <cell r="F1195">
            <v>687.89</v>
          </cell>
          <cell r="N1195">
            <v>687.89</v>
          </cell>
        </row>
        <row r="1196">
          <cell r="E1196">
            <v>3</v>
          </cell>
          <cell r="F1196">
            <v>189.44</v>
          </cell>
          <cell r="N1196">
            <v>568.31999999999994</v>
          </cell>
        </row>
        <row r="1197">
          <cell r="E1197">
            <v>1</v>
          </cell>
          <cell r="F1197">
            <v>107.04</v>
          </cell>
          <cell r="N1197">
            <v>107.04</v>
          </cell>
        </row>
        <row r="1198">
          <cell r="E1198">
            <v>2</v>
          </cell>
          <cell r="F1198">
            <v>662.53</v>
          </cell>
          <cell r="N1198">
            <v>1325.06</v>
          </cell>
        </row>
        <row r="1199">
          <cell r="E1199">
            <v>2</v>
          </cell>
          <cell r="F1199">
            <v>436.84</v>
          </cell>
          <cell r="N1199">
            <v>873.68</v>
          </cell>
        </row>
        <row r="1200">
          <cell r="E1200">
            <v>4</v>
          </cell>
          <cell r="F1200">
            <v>262.52</v>
          </cell>
          <cell r="N1200">
            <v>1050.08</v>
          </cell>
        </row>
        <row r="1201">
          <cell r="E1201">
            <v>4</v>
          </cell>
          <cell r="F1201">
            <v>560.58000000000004</v>
          </cell>
          <cell r="N1201">
            <v>2242.3200000000002</v>
          </cell>
        </row>
      </sheetData>
      <sheetData sheetId="6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20.520878935182" createdVersion="5" refreshedVersion="5" minRefreshableVersion="3" recordCount="1201">
  <cacheSource type="worksheet">
    <worksheetSource ref="A1:O1202" sheet="Cleaned Data set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1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CouponCode_Cleaned" numFmtId="0">
      <sharedItems containsMixedTypes="1" containsNumber="1" containsInteger="1" minValue="1200" maxValue="1200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x v="0"/>
    <x v="0"/>
    <s v="SAVE10"/>
  </r>
  <r>
    <x v="1"/>
    <x v="1"/>
    <s v="C75739"/>
    <x v="1"/>
    <n v="2"/>
    <n v="151.35"/>
    <s v="823 Main St"/>
    <x v="1"/>
    <x v="0"/>
    <s v="TRK91186779"/>
    <n v="3"/>
    <s v="SAVE10"/>
    <x v="1"/>
    <x v="1"/>
    <s v="SAVE10"/>
  </r>
  <r>
    <x v="2"/>
    <x v="2"/>
    <s v="C81728"/>
    <x v="2"/>
    <n v="5"/>
    <n v="550.67999999999995"/>
    <s v="512 Main St"/>
    <x v="2"/>
    <x v="1"/>
    <s v="TRK42903982"/>
    <n v="8"/>
    <s v="FREESHIP"/>
    <x v="2"/>
    <x v="2"/>
    <s v="FREESHIP"/>
  </r>
  <r>
    <x v="3"/>
    <x v="3"/>
    <s v="C33540"/>
    <x v="3"/>
    <n v="1"/>
    <n v="273.19"/>
    <s v="275 Main St"/>
    <x v="0"/>
    <x v="2"/>
    <s v="TRK62788070"/>
    <n v="5"/>
    <s v="SAVE10"/>
    <x v="3"/>
    <x v="3"/>
    <s v="SAVE10"/>
  </r>
  <r>
    <x v="4"/>
    <x v="4"/>
    <s v="C81840"/>
    <x v="4"/>
    <n v="4"/>
    <n v="626.01"/>
    <s v="668 Main St"/>
    <x v="1"/>
    <x v="3"/>
    <s v="TRK29241424"/>
    <n v="8"/>
    <s v="SAVE10"/>
    <x v="2"/>
    <x v="4"/>
    <s v="SAVE10"/>
  </r>
  <r>
    <x v="5"/>
    <x v="5"/>
    <s v="C37249"/>
    <x v="1"/>
    <n v="2"/>
    <n v="245.86"/>
    <s v="934 Main St"/>
    <x v="2"/>
    <x v="0"/>
    <s v="TRK72976927"/>
    <n v="4"/>
    <s v="SAVE10"/>
    <x v="0"/>
    <x v="5"/>
    <s v="SAVE10"/>
  </r>
  <r>
    <x v="6"/>
    <x v="6"/>
    <s v="C83492"/>
    <x v="5"/>
    <n v="1"/>
    <n v="664.42"/>
    <s v="986 Main St"/>
    <x v="3"/>
    <x v="2"/>
    <s v="TRK96417362"/>
    <n v="6"/>
    <s v="SAVE10"/>
    <x v="3"/>
    <x v="6"/>
    <s v="SAVE10"/>
  </r>
  <r>
    <x v="7"/>
    <x v="7"/>
    <s v="C41460"/>
    <x v="0"/>
    <n v="5"/>
    <n v="149.55000000000001"/>
    <s v="706 Main St"/>
    <x v="4"/>
    <x v="0"/>
    <s v="TRK78809193"/>
    <n v="9"/>
    <s v="FREESHIP"/>
    <x v="3"/>
    <x v="7"/>
    <s v="FREESHIP"/>
  </r>
  <r>
    <x v="8"/>
    <x v="8"/>
    <s v="C26817"/>
    <x v="1"/>
    <n v="2"/>
    <n v="134.28"/>
    <s v="904 Main St"/>
    <x v="3"/>
    <x v="1"/>
    <s v="TRK61042692"/>
    <n v="2"/>
    <m/>
    <x v="2"/>
    <x v="8"/>
    <s v="No Coupon"/>
  </r>
  <r>
    <x v="9"/>
    <x v="9"/>
    <s v="C31946"/>
    <x v="6"/>
    <n v="4"/>
    <n v="509.38"/>
    <s v="102 Main St"/>
    <x v="2"/>
    <x v="0"/>
    <s v="TRK33478363"/>
    <n v="6"/>
    <s v="SAVE10"/>
    <x v="4"/>
    <x v="9"/>
    <s v="SAVE10"/>
  </r>
  <r>
    <x v="10"/>
    <x v="10"/>
    <s v="C43443"/>
    <x v="2"/>
    <n v="5"/>
    <n v="625.97"/>
    <s v="333 Main St"/>
    <x v="2"/>
    <x v="2"/>
    <s v="TRK98859248"/>
    <n v="9"/>
    <s v="WINTER15"/>
    <x v="0"/>
    <x v="10"/>
    <s v="WINTER15"/>
  </r>
  <r>
    <x v="11"/>
    <x v="11"/>
    <s v="C93861"/>
    <x v="0"/>
    <n v="3"/>
    <n v="49.14"/>
    <s v="831 Main St"/>
    <x v="1"/>
    <x v="2"/>
    <s v="TRK48234646"/>
    <n v="7"/>
    <s v="SAVE10"/>
    <x v="2"/>
    <x v="11"/>
    <s v="SAVE10"/>
  </r>
  <r>
    <x v="12"/>
    <x v="12"/>
    <s v="C38785"/>
    <x v="0"/>
    <n v="2"/>
    <n v="180.5"/>
    <s v="179 Main St"/>
    <x v="0"/>
    <x v="4"/>
    <s v="TRK20419991"/>
    <n v="6"/>
    <s v="FREESHIP"/>
    <x v="1"/>
    <x v="12"/>
    <s v="FREESHIP"/>
  </r>
  <r>
    <x v="13"/>
    <x v="13"/>
    <s v="C88348"/>
    <x v="5"/>
    <n v="3"/>
    <n v="201.49"/>
    <s v="903 Main St"/>
    <x v="2"/>
    <x v="2"/>
    <s v="TRK81913874"/>
    <n v="4"/>
    <s v="FREESHIP"/>
    <x v="3"/>
    <x v="13"/>
    <s v="FREESHIP"/>
  </r>
  <r>
    <x v="14"/>
    <x v="14"/>
    <s v="C98474"/>
    <x v="2"/>
    <n v="2"/>
    <n v="393.33"/>
    <s v="980 Main St"/>
    <x v="0"/>
    <x v="4"/>
    <s v="TRK79186539"/>
    <n v="3"/>
    <s v="SAVE10"/>
    <x v="0"/>
    <x v="14"/>
    <s v="SAVE10"/>
  </r>
  <r>
    <x v="15"/>
    <x v="15"/>
    <s v="C39416"/>
    <x v="4"/>
    <n v="1"/>
    <n v="473.96"/>
    <s v="942 Main St"/>
    <x v="4"/>
    <x v="3"/>
    <s v="TRK54930938"/>
    <n v="3"/>
    <m/>
    <x v="4"/>
    <x v="15"/>
    <s v="No Coupon"/>
  </r>
  <r>
    <x v="16"/>
    <x v="16"/>
    <s v="C28976"/>
    <x v="4"/>
    <n v="2"/>
    <n v="533.80999999999995"/>
    <s v="914 Main St"/>
    <x v="2"/>
    <x v="4"/>
    <s v="TRK13194259"/>
    <n v="3"/>
    <s v="FREESHIP"/>
    <x v="2"/>
    <x v="16"/>
    <s v="FREESHIP"/>
  </r>
  <r>
    <x v="17"/>
    <x v="17"/>
    <s v="C60672"/>
    <x v="2"/>
    <n v="1"/>
    <n v="423.4"/>
    <s v="382 Main St"/>
    <x v="0"/>
    <x v="0"/>
    <s v="TRK11972116"/>
    <n v="3"/>
    <m/>
    <x v="1"/>
    <x v="17"/>
    <s v="No Coupon"/>
  </r>
  <r>
    <x v="18"/>
    <x v="18"/>
    <s v="C84329"/>
    <x v="6"/>
    <n v="1"/>
    <n v="431.44"/>
    <s v="891 Main St"/>
    <x v="3"/>
    <x v="4"/>
    <s v="TRK65191045"/>
    <n v="3"/>
    <s v="SAVE10"/>
    <x v="3"/>
    <x v="18"/>
    <s v="SAVE10"/>
  </r>
  <r>
    <x v="19"/>
    <x v="19"/>
    <s v="C14552"/>
    <x v="0"/>
    <n v="5"/>
    <n v="224"/>
    <s v="273 Main St"/>
    <x v="4"/>
    <x v="2"/>
    <s v="TRK59101365"/>
    <n v="9"/>
    <s v="SAVE10"/>
    <x v="4"/>
    <x v="19"/>
    <s v="SAVE10"/>
  </r>
  <r>
    <x v="20"/>
    <x v="20"/>
    <s v="C54829"/>
    <x v="3"/>
    <n v="5"/>
    <n v="62.51"/>
    <s v="587 Main St"/>
    <x v="4"/>
    <x v="4"/>
    <s v="TRK16718651"/>
    <n v="9"/>
    <s v="WINTER15"/>
    <x v="0"/>
    <x v="20"/>
    <s v="WINTER15"/>
  </r>
  <r>
    <x v="21"/>
    <x v="21"/>
    <s v="C99023"/>
    <x v="0"/>
    <n v="4"/>
    <n v="342.95"/>
    <s v="569 Main St"/>
    <x v="4"/>
    <x v="3"/>
    <s v="TRK52646983"/>
    <n v="6"/>
    <m/>
    <x v="4"/>
    <x v="21"/>
    <s v="No Coupon"/>
  </r>
  <r>
    <x v="22"/>
    <x v="22"/>
    <s v="C34416"/>
    <x v="0"/>
    <n v="2"/>
    <n v="49.62"/>
    <s v="633 Main St"/>
    <x v="1"/>
    <x v="4"/>
    <s v="TRK75937350"/>
    <n v="2"/>
    <s v="SAVE10"/>
    <x v="4"/>
    <x v="22"/>
    <s v="SAVE10"/>
  </r>
  <r>
    <x v="23"/>
    <x v="23"/>
    <s v="C42372"/>
    <x v="1"/>
    <n v="4"/>
    <n v="273.25"/>
    <s v="755 Main St"/>
    <x v="0"/>
    <x v="1"/>
    <s v="TRK36168083"/>
    <n v="5"/>
    <s v="FREESHIP"/>
    <x v="1"/>
    <x v="23"/>
    <s v="FREESHIP"/>
  </r>
  <r>
    <x v="24"/>
    <x v="24"/>
    <s v="C17470"/>
    <x v="5"/>
    <n v="2"/>
    <n v="230.95"/>
    <s v="956 Main St"/>
    <x v="1"/>
    <x v="3"/>
    <s v="TRK28775057"/>
    <n v="3"/>
    <s v="WINTER15"/>
    <x v="1"/>
    <x v="24"/>
    <s v="WINTER15"/>
  </r>
  <r>
    <x v="25"/>
    <x v="25"/>
    <s v="C42577"/>
    <x v="0"/>
    <n v="1"/>
    <n v="399.98"/>
    <s v="709 Main St"/>
    <x v="0"/>
    <x v="3"/>
    <s v="TRK69423327"/>
    <n v="3"/>
    <s v="WINTER15"/>
    <x v="2"/>
    <x v="25"/>
    <s v="WINTER15"/>
  </r>
  <r>
    <x v="26"/>
    <x v="26"/>
    <s v="C21944"/>
    <x v="5"/>
    <n v="5"/>
    <n v="59.55"/>
    <s v="296 Main St"/>
    <x v="1"/>
    <x v="3"/>
    <s v="TRK80276812"/>
    <n v="6"/>
    <m/>
    <x v="1"/>
    <x v="26"/>
    <s v="No Coupon"/>
  </r>
  <r>
    <x v="27"/>
    <x v="27"/>
    <s v="C97593"/>
    <x v="4"/>
    <n v="1"/>
    <n v="472.74"/>
    <s v="881 Main St"/>
    <x v="1"/>
    <x v="0"/>
    <s v="TRK89117573"/>
    <n v="6"/>
    <s v="WINTER15"/>
    <x v="4"/>
    <x v="27"/>
    <s v="WINTER15"/>
  </r>
  <r>
    <x v="28"/>
    <x v="9"/>
    <s v="C59823"/>
    <x v="1"/>
    <n v="4"/>
    <n v="160.07"/>
    <s v="568 Main St"/>
    <x v="1"/>
    <x v="4"/>
    <s v="TRK65895539"/>
    <n v="5"/>
    <m/>
    <x v="2"/>
    <x v="28"/>
    <s v="No Coupon"/>
  </r>
  <r>
    <x v="29"/>
    <x v="28"/>
    <s v="C33260"/>
    <x v="6"/>
    <n v="3"/>
    <n v="423.53"/>
    <s v="930 Main St"/>
    <x v="2"/>
    <x v="3"/>
    <s v="TRK59744090"/>
    <n v="6"/>
    <s v="SAVE10"/>
    <x v="1"/>
    <x v="29"/>
    <s v="SAVE10"/>
  </r>
  <r>
    <x v="30"/>
    <x v="29"/>
    <s v="C44267"/>
    <x v="0"/>
    <n v="2"/>
    <n v="426.7"/>
    <s v="895 Main St"/>
    <x v="1"/>
    <x v="4"/>
    <s v="TRK54751444"/>
    <n v="5"/>
    <s v="SAVE10"/>
    <x v="1"/>
    <x v="30"/>
    <s v="SAVE10"/>
  </r>
  <r>
    <x v="31"/>
    <x v="30"/>
    <s v="C26445"/>
    <x v="3"/>
    <n v="3"/>
    <n v="500.08"/>
    <s v="996 Main St"/>
    <x v="0"/>
    <x v="2"/>
    <s v="TRK31229981"/>
    <n v="6"/>
    <m/>
    <x v="3"/>
    <x v="31"/>
    <s v="No Coupon"/>
  </r>
  <r>
    <x v="32"/>
    <x v="31"/>
    <s v="C12388"/>
    <x v="2"/>
    <n v="5"/>
    <n v="536.72"/>
    <s v="830 Main St"/>
    <x v="4"/>
    <x v="3"/>
    <s v="TRK99261395"/>
    <n v="10"/>
    <m/>
    <x v="2"/>
    <x v="32"/>
    <s v="No Coupon"/>
  </r>
  <r>
    <x v="33"/>
    <x v="32"/>
    <s v="C52184"/>
    <x v="3"/>
    <n v="1"/>
    <n v="162.77000000000001"/>
    <s v="912 Main St"/>
    <x v="1"/>
    <x v="1"/>
    <s v="TRK73312471"/>
    <n v="4"/>
    <s v="WINTER15"/>
    <x v="3"/>
    <x v="33"/>
    <s v="WINTER15"/>
  </r>
  <r>
    <x v="34"/>
    <x v="33"/>
    <s v="C67195"/>
    <x v="3"/>
    <n v="4"/>
    <n v="576.52"/>
    <s v="926 Main St"/>
    <x v="2"/>
    <x v="4"/>
    <s v="TRK55467915"/>
    <n v="5"/>
    <s v="WINTER15"/>
    <x v="3"/>
    <x v="34"/>
    <s v="WINTER15"/>
  </r>
  <r>
    <x v="35"/>
    <x v="34"/>
    <s v="C50304"/>
    <x v="0"/>
    <n v="2"/>
    <n v="465.15"/>
    <s v="128 Main St"/>
    <x v="1"/>
    <x v="0"/>
    <s v="TRK46850888"/>
    <n v="2"/>
    <s v="SAVE10"/>
    <x v="3"/>
    <x v="35"/>
    <s v="SAVE10"/>
  </r>
  <r>
    <x v="36"/>
    <x v="4"/>
    <s v="C59337"/>
    <x v="5"/>
    <n v="2"/>
    <n v="534.42999999999995"/>
    <s v="465 Main St"/>
    <x v="0"/>
    <x v="4"/>
    <s v="TRK50961250"/>
    <n v="5"/>
    <m/>
    <x v="3"/>
    <x v="36"/>
    <s v="No Coupon"/>
  </r>
  <r>
    <x v="37"/>
    <x v="35"/>
    <s v="C10054"/>
    <x v="5"/>
    <n v="2"/>
    <n v="76.739999999999995"/>
    <s v="409 Main St"/>
    <x v="4"/>
    <x v="2"/>
    <s v="TRK94005261"/>
    <n v="7"/>
    <s v="SAVE10"/>
    <x v="0"/>
    <x v="37"/>
    <s v="SAVE10"/>
  </r>
  <r>
    <x v="38"/>
    <x v="36"/>
    <s v="C15924"/>
    <x v="5"/>
    <n v="1"/>
    <n v="245.89"/>
    <s v="549 Main St"/>
    <x v="0"/>
    <x v="3"/>
    <s v="TRK14835975"/>
    <n v="3"/>
    <s v="SAVE10"/>
    <x v="4"/>
    <x v="38"/>
    <s v="SAVE10"/>
  </r>
  <r>
    <x v="39"/>
    <x v="37"/>
    <s v="C96664"/>
    <x v="4"/>
    <n v="3"/>
    <n v="256.45999999999998"/>
    <s v="666 Main St"/>
    <x v="2"/>
    <x v="3"/>
    <s v="TRK85508960"/>
    <n v="4"/>
    <s v="SAVE10"/>
    <x v="1"/>
    <x v="39"/>
    <s v="SAVE10"/>
  </r>
  <r>
    <x v="40"/>
    <x v="38"/>
    <s v="C84766"/>
    <x v="6"/>
    <n v="2"/>
    <n v="344.02"/>
    <s v="267 Main St"/>
    <x v="1"/>
    <x v="3"/>
    <s v="TRK78967923"/>
    <n v="4"/>
    <s v="FREESHIP"/>
    <x v="0"/>
    <x v="40"/>
    <s v="FREESHIP"/>
  </r>
  <r>
    <x v="41"/>
    <x v="39"/>
    <s v="C20212"/>
    <x v="0"/>
    <n v="3"/>
    <n v="611.45000000000005"/>
    <s v="657 Main St"/>
    <x v="3"/>
    <x v="4"/>
    <s v="TRK69733327"/>
    <n v="4"/>
    <s v="FREESHIP"/>
    <x v="0"/>
    <x v="41"/>
    <s v="FREESHIP"/>
  </r>
  <r>
    <x v="42"/>
    <x v="40"/>
    <s v="C28712"/>
    <x v="4"/>
    <n v="2"/>
    <n v="151.66"/>
    <s v="980 Main St"/>
    <x v="4"/>
    <x v="1"/>
    <s v="TRK40772558"/>
    <n v="6"/>
    <m/>
    <x v="0"/>
    <x v="42"/>
    <s v="No Coupon"/>
  </r>
  <r>
    <x v="43"/>
    <x v="41"/>
    <s v="C60572"/>
    <x v="3"/>
    <n v="3"/>
    <n v="499.21"/>
    <s v="871 Main St"/>
    <x v="1"/>
    <x v="1"/>
    <s v="TRK20351666"/>
    <n v="8"/>
    <m/>
    <x v="0"/>
    <x v="43"/>
    <s v="No Coupon"/>
  </r>
  <r>
    <x v="44"/>
    <x v="42"/>
    <s v="C73225"/>
    <x v="1"/>
    <n v="2"/>
    <n v="550.17999999999995"/>
    <s v="996 Main St"/>
    <x v="3"/>
    <x v="2"/>
    <s v="TRK73848522"/>
    <n v="3"/>
    <s v="FREESHIP"/>
    <x v="1"/>
    <x v="44"/>
    <s v="FREESHIP"/>
  </r>
  <r>
    <x v="45"/>
    <x v="43"/>
    <s v="C17388"/>
    <x v="3"/>
    <n v="1"/>
    <n v="317.25"/>
    <s v="157 Main St"/>
    <x v="0"/>
    <x v="2"/>
    <s v="TRK47077395"/>
    <n v="1"/>
    <s v="SAVE10"/>
    <x v="3"/>
    <x v="45"/>
    <s v="SAVE10"/>
  </r>
  <r>
    <x v="46"/>
    <x v="44"/>
    <s v="C43212"/>
    <x v="0"/>
    <n v="4"/>
    <n v="550.14"/>
    <s v="223 Main St"/>
    <x v="0"/>
    <x v="4"/>
    <s v="TRK25100762"/>
    <n v="4"/>
    <s v="FREESHIP"/>
    <x v="0"/>
    <x v="46"/>
    <s v="FREESHIP"/>
  </r>
  <r>
    <x v="47"/>
    <x v="45"/>
    <s v="C38134"/>
    <x v="6"/>
    <n v="2"/>
    <n v="209.94"/>
    <s v="323 Main St"/>
    <x v="2"/>
    <x v="2"/>
    <s v="TRK42450754"/>
    <n v="3"/>
    <s v="FREESHIP"/>
    <x v="2"/>
    <x v="47"/>
    <s v="FREESHIP"/>
  </r>
  <r>
    <x v="48"/>
    <x v="46"/>
    <s v="C12408"/>
    <x v="0"/>
    <n v="2"/>
    <n v="80.77"/>
    <s v="464 Main St"/>
    <x v="0"/>
    <x v="0"/>
    <s v="TRK38938858"/>
    <n v="4"/>
    <m/>
    <x v="4"/>
    <x v="48"/>
    <s v="No Coupon"/>
  </r>
  <r>
    <x v="49"/>
    <x v="47"/>
    <s v="C11985"/>
    <x v="4"/>
    <n v="1"/>
    <n v="30.44"/>
    <s v="633 Main St"/>
    <x v="2"/>
    <x v="0"/>
    <s v="TRK53272402"/>
    <n v="1"/>
    <s v="SAVE10"/>
    <x v="2"/>
    <x v="49"/>
    <s v="SAVE10"/>
  </r>
  <r>
    <x v="50"/>
    <x v="48"/>
    <s v="C96494"/>
    <x v="2"/>
    <n v="1"/>
    <n v="179.22"/>
    <s v="446 Main St"/>
    <x v="1"/>
    <x v="1"/>
    <s v="TRK14675049"/>
    <n v="6"/>
    <s v="FREESHIP"/>
    <x v="0"/>
    <x v="50"/>
    <s v="FREESHIP"/>
  </r>
  <r>
    <x v="51"/>
    <x v="49"/>
    <s v="C36778"/>
    <x v="2"/>
    <n v="1"/>
    <n v="388.33"/>
    <s v="434 Main St"/>
    <x v="4"/>
    <x v="2"/>
    <s v="TRK67610289"/>
    <n v="2"/>
    <s v="SAVE10"/>
    <x v="3"/>
    <x v="51"/>
    <s v="SAVE10"/>
  </r>
  <r>
    <x v="52"/>
    <x v="50"/>
    <s v="C30513"/>
    <x v="2"/>
    <n v="1"/>
    <n v="586.44000000000005"/>
    <s v="232 Main St"/>
    <x v="1"/>
    <x v="2"/>
    <s v="TRK64320429"/>
    <n v="5"/>
    <s v="SAVE10"/>
    <x v="3"/>
    <x v="52"/>
    <s v="SAVE10"/>
  </r>
  <r>
    <x v="53"/>
    <x v="51"/>
    <s v="C67551"/>
    <x v="1"/>
    <n v="4"/>
    <n v="488.78"/>
    <s v="512 Main St"/>
    <x v="1"/>
    <x v="2"/>
    <s v="TRK94992552"/>
    <n v="5"/>
    <s v="FREESHIP"/>
    <x v="4"/>
    <x v="53"/>
    <s v="FREESHIP"/>
  </r>
  <r>
    <x v="54"/>
    <x v="52"/>
    <s v="C48120"/>
    <x v="3"/>
    <n v="1"/>
    <n v="280.25"/>
    <s v="623 Main St"/>
    <x v="1"/>
    <x v="4"/>
    <s v="TRK11014449"/>
    <n v="5"/>
    <s v="WINTER15"/>
    <x v="2"/>
    <x v="54"/>
    <s v="WINTER15"/>
  </r>
  <r>
    <x v="55"/>
    <x v="53"/>
    <s v="C95984"/>
    <x v="4"/>
    <n v="3"/>
    <n v="344.4"/>
    <s v="565 Main St"/>
    <x v="1"/>
    <x v="1"/>
    <s v="TRK67434829"/>
    <n v="3"/>
    <m/>
    <x v="3"/>
    <x v="55"/>
    <s v="No Coupon"/>
  </r>
  <r>
    <x v="56"/>
    <x v="54"/>
    <s v="C54298"/>
    <x v="2"/>
    <n v="3"/>
    <n v="479.21"/>
    <s v="566 Main St"/>
    <x v="4"/>
    <x v="1"/>
    <s v="TRK62902341"/>
    <n v="5"/>
    <s v="WINTER15"/>
    <x v="1"/>
    <x v="56"/>
    <s v="WINTER15"/>
  </r>
  <r>
    <x v="57"/>
    <x v="55"/>
    <s v="C88036"/>
    <x v="4"/>
    <n v="5"/>
    <n v="314.27"/>
    <s v="842 Main St"/>
    <x v="4"/>
    <x v="2"/>
    <s v="TRK52470128"/>
    <n v="6"/>
    <s v="SAVE10"/>
    <x v="0"/>
    <x v="57"/>
    <s v="SAVE10"/>
  </r>
  <r>
    <x v="58"/>
    <x v="56"/>
    <s v="C60190"/>
    <x v="1"/>
    <n v="4"/>
    <n v="474.69"/>
    <s v="202 Main St"/>
    <x v="3"/>
    <x v="1"/>
    <s v="TRK70857868"/>
    <n v="6"/>
    <s v="SAVE10"/>
    <x v="4"/>
    <x v="58"/>
    <s v="SAVE10"/>
  </r>
  <r>
    <x v="59"/>
    <x v="57"/>
    <s v="C97603"/>
    <x v="3"/>
    <n v="4"/>
    <n v="593.27"/>
    <s v="811 Main St"/>
    <x v="1"/>
    <x v="0"/>
    <s v="TRK47055028"/>
    <n v="5"/>
    <m/>
    <x v="3"/>
    <x v="59"/>
    <s v="No Coupon"/>
  </r>
  <r>
    <x v="60"/>
    <x v="58"/>
    <s v="C39256"/>
    <x v="6"/>
    <n v="1"/>
    <n v="417.1"/>
    <s v="634 Main St"/>
    <x v="0"/>
    <x v="2"/>
    <s v="TRK23412025"/>
    <n v="3"/>
    <s v="FREESHIP"/>
    <x v="1"/>
    <x v="60"/>
    <s v="FREESHIP"/>
  </r>
  <r>
    <x v="61"/>
    <x v="59"/>
    <s v="C61618"/>
    <x v="6"/>
    <n v="4"/>
    <n v="122.2"/>
    <s v="104 Main St"/>
    <x v="4"/>
    <x v="3"/>
    <s v="TRK43458485"/>
    <n v="7"/>
    <s v="FREESHIP"/>
    <x v="3"/>
    <x v="61"/>
    <s v="FREESHIP"/>
  </r>
  <r>
    <x v="62"/>
    <x v="60"/>
    <s v="C36497"/>
    <x v="6"/>
    <n v="2"/>
    <n v="43.15"/>
    <s v="691 Main St"/>
    <x v="0"/>
    <x v="4"/>
    <s v="TRK12102911"/>
    <n v="3"/>
    <s v="WINTER15"/>
    <x v="2"/>
    <x v="62"/>
    <s v="WINTER15"/>
  </r>
  <r>
    <x v="63"/>
    <x v="61"/>
    <s v="C96695"/>
    <x v="3"/>
    <n v="1"/>
    <n v="564.86"/>
    <s v="813 Main St"/>
    <x v="0"/>
    <x v="0"/>
    <s v="TRK64283851"/>
    <n v="6"/>
    <s v="WINTER15"/>
    <x v="1"/>
    <x v="63"/>
    <s v="WINTER15"/>
  </r>
  <r>
    <x v="64"/>
    <x v="62"/>
    <s v="C49720"/>
    <x v="4"/>
    <n v="3"/>
    <n v="130.61000000000001"/>
    <s v="752 Main St"/>
    <x v="0"/>
    <x v="1"/>
    <s v="TRK55785217"/>
    <n v="4"/>
    <s v="FREESHIP"/>
    <x v="3"/>
    <x v="64"/>
    <s v="FREESHIP"/>
  </r>
  <r>
    <x v="65"/>
    <x v="63"/>
    <s v="C97735"/>
    <x v="0"/>
    <n v="5"/>
    <n v="81.7"/>
    <s v="385 Main St"/>
    <x v="2"/>
    <x v="3"/>
    <s v="TRK13743703"/>
    <n v="6"/>
    <m/>
    <x v="0"/>
    <x v="65"/>
    <s v="No Coupon"/>
  </r>
  <r>
    <x v="66"/>
    <x v="64"/>
    <s v="C18104"/>
    <x v="3"/>
    <n v="5"/>
    <n v="127.18"/>
    <s v="715 Main St"/>
    <x v="4"/>
    <x v="1"/>
    <s v="TRK15488568"/>
    <n v="9"/>
    <s v="SAVE10"/>
    <x v="1"/>
    <x v="66"/>
    <s v="SAVE10"/>
  </r>
  <r>
    <x v="67"/>
    <x v="65"/>
    <s v="C25587"/>
    <x v="4"/>
    <n v="4"/>
    <n v="12.1"/>
    <s v="440 Main St"/>
    <x v="0"/>
    <x v="1"/>
    <s v="TRK55105323"/>
    <n v="8"/>
    <m/>
    <x v="4"/>
    <x v="67"/>
    <s v="No Coupon"/>
  </r>
  <r>
    <x v="68"/>
    <x v="66"/>
    <s v="C41598"/>
    <x v="3"/>
    <n v="3"/>
    <n v="490.92"/>
    <s v="709 Main St"/>
    <x v="2"/>
    <x v="4"/>
    <s v="TRK81665940"/>
    <n v="5"/>
    <s v="FREESHIP"/>
    <x v="2"/>
    <x v="68"/>
    <s v="FREESHIP"/>
  </r>
  <r>
    <x v="69"/>
    <x v="67"/>
    <s v="C43338"/>
    <x v="0"/>
    <n v="3"/>
    <n v="478.65"/>
    <s v="552 Main St"/>
    <x v="1"/>
    <x v="0"/>
    <s v="TRK35241775"/>
    <n v="4"/>
    <m/>
    <x v="1"/>
    <x v="69"/>
    <s v="No Coupon"/>
  </r>
  <r>
    <x v="70"/>
    <x v="68"/>
    <s v="C25123"/>
    <x v="6"/>
    <n v="1"/>
    <n v="629.21"/>
    <s v="384 Main St"/>
    <x v="3"/>
    <x v="4"/>
    <s v="TRK27812282"/>
    <n v="2"/>
    <s v="FREESHIP"/>
    <x v="0"/>
    <x v="70"/>
    <s v="FREESHIP"/>
  </r>
  <r>
    <x v="71"/>
    <x v="69"/>
    <s v="C37454"/>
    <x v="0"/>
    <n v="3"/>
    <n v="434.45"/>
    <s v="923 Main St"/>
    <x v="2"/>
    <x v="4"/>
    <s v="TRK28252730"/>
    <n v="4"/>
    <m/>
    <x v="1"/>
    <x v="71"/>
    <s v="No Coupon"/>
  </r>
  <r>
    <x v="72"/>
    <x v="70"/>
    <s v="C19451"/>
    <x v="2"/>
    <n v="4"/>
    <n v="589.44000000000005"/>
    <s v="942 Main St"/>
    <x v="3"/>
    <x v="2"/>
    <s v="TRK87787793"/>
    <n v="5"/>
    <m/>
    <x v="3"/>
    <x v="72"/>
    <s v="No Coupon"/>
  </r>
  <r>
    <x v="73"/>
    <x v="71"/>
    <s v="C17269"/>
    <x v="0"/>
    <n v="4"/>
    <n v="433.45"/>
    <s v="129 Main St"/>
    <x v="3"/>
    <x v="1"/>
    <s v="TRK79608389"/>
    <n v="4"/>
    <m/>
    <x v="3"/>
    <x v="73"/>
    <s v="No Coupon"/>
  </r>
  <r>
    <x v="74"/>
    <x v="72"/>
    <s v="C25382"/>
    <x v="1"/>
    <n v="5"/>
    <n v="90.87"/>
    <s v="622 Main St"/>
    <x v="4"/>
    <x v="4"/>
    <s v="TRK64691287"/>
    <n v="5"/>
    <m/>
    <x v="0"/>
    <x v="74"/>
    <s v="No Coupon"/>
  </r>
  <r>
    <x v="75"/>
    <x v="73"/>
    <s v="C80651"/>
    <x v="2"/>
    <n v="3"/>
    <n v="398.17"/>
    <s v="917 Main St"/>
    <x v="0"/>
    <x v="3"/>
    <s v="TRK14846720"/>
    <n v="5"/>
    <s v="SAVE10"/>
    <x v="2"/>
    <x v="75"/>
    <s v="SAVE10"/>
  </r>
  <r>
    <x v="76"/>
    <x v="74"/>
    <s v="C58638"/>
    <x v="5"/>
    <n v="4"/>
    <n v="382.88"/>
    <s v="239 Main St"/>
    <x v="4"/>
    <x v="1"/>
    <s v="TRK38224871"/>
    <n v="6"/>
    <s v="WINTER15"/>
    <x v="2"/>
    <x v="76"/>
    <s v="WINTER15"/>
  </r>
  <r>
    <x v="77"/>
    <x v="75"/>
    <s v="C50121"/>
    <x v="1"/>
    <n v="1"/>
    <n v="583.17999999999995"/>
    <s v="348 Main St"/>
    <x v="2"/>
    <x v="2"/>
    <s v="TRK79810059"/>
    <n v="5"/>
    <m/>
    <x v="4"/>
    <x v="77"/>
    <s v="No Coupon"/>
  </r>
  <r>
    <x v="78"/>
    <x v="76"/>
    <s v="C32029"/>
    <x v="4"/>
    <n v="4"/>
    <n v="175.36"/>
    <s v="146 Main St"/>
    <x v="0"/>
    <x v="3"/>
    <s v="TRK68535532"/>
    <n v="4"/>
    <s v="FREESHIP"/>
    <x v="0"/>
    <x v="78"/>
    <s v="FREESHIP"/>
  </r>
  <r>
    <x v="79"/>
    <x v="77"/>
    <s v="C76700"/>
    <x v="2"/>
    <n v="2"/>
    <n v="311.91000000000003"/>
    <s v="103 Main St"/>
    <x v="1"/>
    <x v="0"/>
    <s v="TRK13036341"/>
    <n v="2"/>
    <m/>
    <x v="3"/>
    <x v="79"/>
    <s v="No Coupon"/>
  </r>
  <r>
    <x v="80"/>
    <x v="78"/>
    <s v="C29041"/>
    <x v="1"/>
    <n v="3"/>
    <n v="589.55999999999995"/>
    <s v="591 Main St"/>
    <x v="1"/>
    <x v="2"/>
    <s v="TRK28840655"/>
    <n v="6"/>
    <m/>
    <x v="3"/>
    <x v="80"/>
    <s v="No Coupon"/>
  </r>
  <r>
    <x v="81"/>
    <x v="79"/>
    <s v="C29314"/>
    <x v="0"/>
    <n v="2"/>
    <n v="394.3"/>
    <s v="496 Main St"/>
    <x v="4"/>
    <x v="0"/>
    <s v="TRK59876213"/>
    <n v="6"/>
    <s v="FREESHIP"/>
    <x v="2"/>
    <x v="81"/>
    <s v="FREESHIP"/>
  </r>
  <r>
    <x v="82"/>
    <x v="80"/>
    <s v="C65799"/>
    <x v="2"/>
    <n v="4"/>
    <n v="565.20000000000005"/>
    <s v="971 Main St"/>
    <x v="0"/>
    <x v="0"/>
    <s v="TRK66906607"/>
    <n v="9"/>
    <s v="SAVE10"/>
    <x v="4"/>
    <x v="82"/>
    <s v="SAVE10"/>
  </r>
  <r>
    <x v="83"/>
    <x v="60"/>
    <s v="C15681"/>
    <x v="5"/>
    <n v="4"/>
    <n v="540.41"/>
    <s v="989 Main St"/>
    <x v="2"/>
    <x v="1"/>
    <s v="TRK75112172"/>
    <n v="6"/>
    <m/>
    <x v="1"/>
    <x v="83"/>
    <s v="No Coupon"/>
  </r>
  <r>
    <x v="84"/>
    <x v="81"/>
    <s v="C64160"/>
    <x v="0"/>
    <n v="2"/>
    <n v="165.49"/>
    <s v="967 Main St"/>
    <x v="1"/>
    <x v="0"/>
    <s v="TRK34121529"/>
    <n v="4"/>
    <s v="WINTER15"/>
    <x v="0"/>
    <x v="84"/>
    <s v="WINTER15"/>
  </r>
  <r>
    <x v="85"/>
    <x v="82"/>
    <s v="C14553"/>
    <x v="2"/>
    <n v="3"/>
    <n v="146.72999999999999"/>
    <s v="768 Main St"/>
    <x v="4"/>
    <x v="3"/>
    <s v="TRK93538334"/>
    <n v="8"/>
    <s v="FREESHIP"/>
    <x v="2"/>
    <x v="85"/>
    <s v="FREESHIP"/>
  </r>
  <r>
    <x v="86"/>
    <x v="83"/>
    <s v="C88205"/>
    <x v="4"/>
    <n v="5"/>
    <n v="643.03"/>
    <s v="447 Main St"/>
    <x v="1"/>
    <x v="1"/>
    <s v="TRK93504166"/>
    <n v="5"/>
    <s v="FREESHIP"/>
    <x v="1"/>
    <x v="86"/>
    <s v="FREESHIP"/>
  </r>
  <r>
    <x v="87"/>
    <x v="84"/>
    <s v="C91245"/>
    <x v="2"/>
    <n v="3"/>
    <n v="225.11"/>
    <s v="915 Main St"/>
    <x v="4"/>
    <x v="0"/>
    <s v="TRK46976391"/>
    <n v="4"/>
    <s v="SAVE10"/>
    <x v="3"/>
    <x v="87"/>
    <s v="SAVE10"/>
  </r>
  <r>
    <x v="88"/>
    <x v="85"/>
    <s v="C75439"/>
    <x v="6"/>
    <n v="3"/>
    <n v="114.81"/>
    <s v="318 Main St"/>
    <x v="3"/>
    <x v="1"/>
    <s v="TRK19831653"/>
    <n v="7"/>
    <m/>
    <x v="4"/>
    <x v="88"/>
    <s v="No Coupon"/>
  </r>
  <r>
    <x v="89"/>
    <x v="86"/>
    <s v="C17181"/>
    <x v="4"/>
    <n v="5"/>
    <n v="455.33"/>
    <s v="291 Main St"/>
    <x v="2"/>
    <x v="1"/>
    <s v="TRK78912978"/>
    <n v="8"/>
    <s v="FREESHIP"/>
    <x v="4"/>
    <x v="89"/>
    <s v="FREESHIP"/>
  </r>
  <r>
    <x v="90"/>
    <x v="87"/>
    <s v="C36540"/>
    <x v="3"/>
    <n v="4"/>
    <n v="182.08"/>
    <s v="611 Main St"/>
    <x v="3"/>
    <x v="3"/>
    <s v="TRK35828122"/>
    <n v="4"/>
    <s v="SAVE10"/>
    <x v="2"/>
    <x v="90"/>
    <s v="SAVE10"/>
  </r>
  <r>
    <x v="91"/>
    <x v="88"/>
    <s v="C98216"/>
    <x v="5"/>
    <n v="5"/>
    <n v="492.75"/>
    <s v="196 Main St"/>
    <x v="4"/>
    <x v="0"/>
    <s v="TRK40986666"/>
    <n v="6"/>
    <s v="WINTER15"/>
    <x v="1"/>
    <x v="91"/>
    <s v="WINTER15"/>
  </r>
  <r>
    <x v="92"/>
    <x v="89"/>
    <s v="C29568"/>
    <x v="4"/>
    <n v="4"/>
    <n v="48.61"/>
    <s v="203 Main St"/>
    <x v="1"/>
    <x v="0"/>
    <s v="TRK46531075"/>
    <n v="7"/>
    <s v="FREESHIP"/>
    <x v="3"/>
    <x v="92"/>
    <s v="FREESHIP"/>
  </r>
  <r>
    <x v="93"/>
    <x v="90"/>
    <s v="C97262"/>
    <x v="6"/>
    <n v="4"/>
    <n v="431.01"/>
    <s v="837 Main St"/>
    <x v="2"/>
    <x v="2"/>
    <s v="TRK65990229"/>
    <n v="7"/>
    <m/>
    <x v="1"/>
    <x v="93"/>
    <s v="No Coupon"/>
  </r>
  <r>
    <x v="94"/>
    <x v="91"/>
    <s v="C79821"/>
    <x v="3"/>
    <n v="1"/>
    <n v="531.17999999999995"/>
    <s v="781 Main St"/>
    <x v="3"/>
    <x v="2"/>
    <s v="TRK12780193"/>
    <n v="6"/>
    <s v="WINTER15"/>
    <x v="0"/>
    <x v="94"/>
    <s v="WINTER15"/>
  </r>
  <r>
    <x v="95"/>
    <x v="92"/>
    <s v="C76761"/>
    <x v="4"/>
    <n v="4"/>
    <n v="117.51"/>
    <s v="839 Main St"/>
    <x v="0"/>
    <x v="2"/>
    <s v="TRK60179774"/>
    <n v="7"/>
    <m/>
    <x v="1"/>
    <x v="95"/>
    <s v="No Coupon"/>
  </r>
  <r>
    <x v="96"/>
    <x v="93"/>
    <s v="C93007"/>
    <x v="1"/>
    <n v="2"/>
    <n v="232.83"/>
    <s v="103 Main St"/>
    <x v="3"/>
    <x v="3"/>
    <s v="TRK85696091"/>
    <n v="7"/>
    <m/>
    <x v="0"/>
    <x v="96"/>
    <s v="No Coupon"/>
  </r>
  <r>
    <x v="97"/>
    <x v="94"/>
    <s v="C15624"/>
    <x v="2"/>
    <n v="5"/>
    <n v="619.52"/>
    <s v="922 Main St"/>
    <x v="0"/>
    <x v="4"/>
    <s v="TRK40621141"/>
    <n v="9"/>
    <m/>
    <x v="2"/>
    <x v="97"/>
    <s v="No Coupon"/>
  </r>
  <r>
    <x v="98"/>
    <x v="90"/>
    <s v="C70921"/>
    <x v="4"/>
    <n v="2"/>
    <n v="228.54"/>
    <s v="533 Main St"/>
    <x v="0"/>
    <x v="4"/>
    <s v="TRK54983109"/>
    <n v="3"/>
    <m/>
    <x v="2"/>
    <x v="98"/>
    <s v="No Coupon"/>
  </r>
  <r>
    <x v="99"/>
    <x v="95"/>
    <s v="C30477"/>
    <x v="4"/>
    <n v="1"/>
    <n v="201.58"/>
    <s v="717 Main St"/>
    <x v="0"/>
    <x v="1"/>
    <s v="TRK51829648"/>
    <n v="2"/>
    <s v="WINTER15"/>
    <x v="2"/>
    <x v="99"/>
    <s v="WINTER15"/>
  </r>
  <r>
    <x v="100"/>
    <x v="96"/>
    <s v="C74866"/>
    <x v="1"/>
    <n v="3"/>
    <n v="664.79"/>
    <s v="743 Main St"/>
    <x v="1"/>
    <x v="3"/>
    <s v="TRK53783265"/>
    <n v="6"/>
    <m/>
    <x v="3"/>
    <x v="100"/>
    <s v="No Coupon"/>
  </r>
  <r>
    <x v="101"/>
    <x v="97"/>
    <s v="C15283"/>
    <x v="4"/>
    <n v="1"/>
    <n v="381.02"/>
    <s v="152 Main St"/>
    <x v="4"/>
    <x v="0"/>
    <s v="TRK19286291"/>
    <n v="6"/>
    <m/>
    <x v="4"/>
    <x v="101"/>
    <s v="No Coupon"/>
  </r>
  <r>
    <x v="102"/>
    <x v="98"/>
    <s v="C18037"/>
    <x v="5"/>
    <n v="2"/>
    <n v="70.34"/>
    <s v="944 Main St"/>
    <x v="3"/>
    <x v="1"/>
    <s v="TRK47362236"/>
    <n v="3"/>
    <s v="FREESHIP"/>
    <x v="2"/>
    <x v="102"/>
    <s v="FREESHIP"/>
  </r>
  <r>
    <x v="103"/>
    <x v="99"/>
    <s v="C62656"/>
    <x v="1"/>
    <n v="4"/>
    <n v="218.43"/>
    <s v="514 Main St"/>
    <x v="2"/>
    <x v="1"/>
    <s v="TRK86296459"/>
    <n v="9"/>
    <s v="SAVE10"/>
    <x v="2"/>
    <x v="103"/>
    <s v="SAVE10"/>
  </r>
  <r>
    <x v="104"/>
    <x v="100"/>
    <s v="C65744"/>
    <x v="1"/>
    <n v="1"/>
    <n v="582.04"/>
    <s v="647 Main St"/>
    <x v="3"/>
    <x v="3"/>
    <s v="TRK39906058"/>
    <n v="1"/>
    <s v="FREESHIP"/>
    <x v="2"/>
    <x v="104"/>
    <s v="FREESHIP"/>
  </r>
  <r>
    <x v="105"/>
    <x v="101"/>
    <s v="C72290"/>
    <x v="4"/>
    <n v="3"/>
    <n v="185.4"/>
    <s v="810 Main St"/>
    <x v="3"/>
    <x v="1"/>
    <s v="TRK68792129"/>
    <n v="7"/>
    <m/>
    <x v="3"/>
    <x v="105"/>
    <s v="No Coupon"/>
  </r>
  <r>
    <x v="106"/>
    <x v="102"/>
    <s v="C73514"/>
    <x v="6"/>
    <n v="3"/>
    <n v="465.05"/>
    <s v="126 Main St"/>
    <x v="2"/>
    <x v="1"/>
    <s v="TRK96777924"/>
    <n v="3"/>
    <s v="SAVE10"/>
    <x v="2"/>
    <x v="106"/>
    <s v="SAVE10"/>
  </r>
  <r>
    <x v="107"/>
    <x v="14"/>
    <s v="C16775"/>
    <x v="4"/>
    <n v="5"/>
    <n v="670.75"/>
    <s v="848 Main St"/>
    <x v="3"/>
    <x v="0"/>
    <s v="TRK34392124"/>
    <n v="8"/>
    <s v="FREESHIP"/>
    <x v="0"/>
    <x v="107"/>
    <s v="FREESHIP"/>
  </r>
  <r>
    <x v="108"/>
    <x v="103"/>
    <s v="C33099"/>
    <x v="5"/>
    <n v="5"/>
    <n v="48.38"/>
    <s v="522 Main St"/>
    <x v="3"/>
    <x v="3"/>
    <s v="TRK28522330"/>
    <n v="9"/>
    <s v="WINTER15"/>
    <x v="2"/>
    <x v="108"/>
    <s v="WINTER15"/>
  </r>
  <r>
    <x v="109"/>
    <x v="104"/>
    <s v="C51157"/>
    <x v="6"/>
    <n v="3"/>
    <n v="592.87"/>
    <s v="131 Main St"/>
    <x v="3"/>
    <x v="0"/>
    <s v="TRK18674578"/>
    <n v="3"/>
    <s v="FREESHIP"/>
    <x v="1"/>
    <x v="109"/>
    <s v="FREESHIP"/>
  </r>
  <r>
    <x v="110"/>
    <x v="105"/>
    <s v="C74562"/>
    <x v="2"/>
    <n v="1"/>
    <n v="220.77"/>
    <s v="388 Main St"/>
    <x v="3"/>
    <x v="4"/>
    <s v="TRK32062079"/>
    <n v="5"/>
    <s v="FREESHIP"/>
    <x v="0"/>
    <x v="110"/>
    <s v="FREESHIP"/>
  </r>
  <r>
    <x v="111"/>
    <x v="106"/>
    <s v="C95271"/>
    <x v="6"/>
    <n v="3"/>
    <n v="309.22000000000003"/>
    <s v="620 Main St"/>
    <x v="1"/>
    <x v="1"/>
    <s v="TRK74904969"/>
    <n v="7"/>
    <s v="FREESHIP"/>
    <x v="4"/>
    <x v="111"/>
    <s v="FREESHIP"/>
  </r>
  <r>
    <x v="112"/>
    <x v="107"/>
    <s v="C81366"/>
    <x v="0"/>
    <n v="1"/>
    <n v="410.6"/>
    <s v="423 Main St"/>
    <x v="1"/>
    <x v="1"/>
    <s v="TRK17062206"/>
    <n v="2"/>
    <s v="WINTER15"/>
    <x v="1"/>
    <x v="112"/>
    <s v="WINTER15"/>
  </r>
  <r>
    <x v="113"/>
    <x v="108"/>
    <s v="C65905"/>
    <x v="5"/>
    <n v="5"/>
    <n v="190.08"/>
    <s v="605 Main St"/>
    <x v="4"/>
    <x v="0"/>
    <s v="TRK73954365"/>
    <n v="9"/>
    <s v="FREESHIP"/>
    <x v="0"/>
    <x v="113"/>
    <s v="FREESHIP"/>
  </r>
  <r>
    <x v="114"/>
    <x v="109"/>
    <s v="C77272"/>
    <x v="0"/>
    <n v="5"/>
    <n v="498.48"/>
    <s v="115 Main St"/>
    <x v="1"/>
    <x v="4"/>
    <s v="TRK29708128"/>
    <n v="8"/>
    <s v="SAVE10"/>
    <x v="4"/>
    <x v="114"/>
    <s v="SAVE10"/>
  </r>
  <r>
    <x v="115"/>
    <x v="110"/>
    <s v="C32580"/>
    <x v="1"/>
    <n v="5"/>
    <n v="374.99"/>
    <s v="122 Main St"/>
    <x v="1"/>
    <x v="0"/>
    <s v="TRK23670394"/>
    <n v="9"/>
    <s v="SAVE10"/>
    <x v="3"/>
    <x v="115"/>
    <s v="SAVE10"/>
  </r>
  <r>
    <x v="116"/>
    <x v="111"/>
    <s v="C47761"/>
    <x v="4"/>
    <n v="4"/>
    <n v="291.35000000000002"/>
    <s v="109 Main St"/>
    <x v="2"/>
    <x v="1"/>
    <s v="TRK66669207"/>
    <n v="6"/>
    <s v="WINTER15"/>
    <x v="3"/>
    <x v="116"/>
    <s v="WINTER15"/>
  </r>
  <r>
    <x v="117"/>
    <x v="98"/>
    <s v="C49187"/>
    <x v="2"/>
    <n v="1"/>
    <n v="535.5"/>
    <s v="593 Main St"/>
    <x v="3"/>
    <x v="1"/>
    <s v="TRK81888598"/>
    <n v="5"/>
    <s v="WINTER15"/>
    <x v="1"/>
    <x v="117"/>
    <s v="WINTER15"/>
  </r>
  <r>
    <x v="118"/>
    <x v="112"/>
    <s v="C27898"/>
    <x v="4"/>
    <n v="5"/>
    <n v="502.71"/>
    <s v="807 Main St"/>
    <x v="3"/>
    <x v="0"/>
    <s v="TRK61957665"/>
    <n v="7"/>
    <s v="FREESHIP"/>
    <x v="4"/>
    <x v="118"/>
    <s v="FREESHIP"/>
  </r>
  <r>
    <x v="119"/>
    <x v="113"/>
    <s v="C14683"/>
    <x v="6"/>
    <n v="2"/>
    <n v="534.66999999999996"/>
    <s v="187 Main St"/>
    <x v="0"/>
    <x v="0"/>
    <s v="TRK47373682"/>
    <n v="7"/>
    <s v="FREESHIP"/>
    <x v="1"/>
    <x v="119"/>
    <s v="FREESHIP"/>
  </r>
  <r>
    <x v="120"/>
    <x v="114"/>
    <s v="C58108"/>
    <x v="2"/>
    <n v="4"/>
    <n v="629.34"/>
    <s v="986 Main St"/>
    <x v="4"/>
    <x v="1"/>
    <s v="TRK66218053"/>
    <n v="4"/>
    <s v="WINTER15"/>
    <x v="0"/>
    <x v="120"/>
    <s v="WINTER15"/>
  </r>
  <r>
    <x v="121"/>
    <x v="115"/>
    <s v="C89822"/>
    <x v="6"/>
    <n v="1"/>
    <n v="410.78"/>
    <s v="673 Main St"/>
    <x v="4"/>
    <x v="1"/>
    <s v="TRK24138598"/>
    <n v="1"/>
    <s v="FREESHIP"/>
    <x v="0"/>
    <x v="121"/>
    <s v="FREESHIP"/>
  </r>
  <r>
    <x v="122"/>
    <x v="116"/>
    <s v="C96787"/>
    <x v="5"/>
    <n v="2"/>
    <n v="533.02"/>
    <s v="588 Main St"/>
    <x v="3"/>
    <x v="0"/>
    <s v="TRK30422853"/>
    <n v="2"/>
    <m/>
    <x v="3"/>
    <x v="122"/>
    <s v="No Coupon"/>
  </r>
  <r>
    <x v="123"/>
    <x v="117"/>
    <s v="C86064"/>
    <x v="6"/>
    <n v="3"/>
    <n v="278.04000000000002"/>
    <s v="727 Main St"/>
    <x v="1"/>
    <x v="3"/>
    <s v="TRK62182901"/>
    <n v="5"/>
    <m/>
    <x v="0"/>
    <x v="123"/>
    <s v="No Coupon"/>
  </r>
  <r>
    <x v="124"/>
    <x v="118"/>
    <s v="C97148"/>
    <x v="4"/>
    <n v="4"/>
    <n v="283.79000000000002"/>
    <s v="563 Main St"/>
    <x v="1"/>
    <x v="4"/>
    <s v="TRK85321126"/>
    <n v="8"/>
    <m/>
    <x v="4"/>
    <x v="124"/>
    <s v="No Coupon"/>
  </r>
  <r>
    <x v="125"/>
    <x v="119"/>
    <s v="C91099"/>
    <x v="1"/>
    <n v="2"/>
    <n v="512.65"/>
    <s v="758 Main St"/>
    <x v="2"/>
    <x v="0"/>
    <s v="TRK81846174"/>
    <n v="5"/>
    <s v="SAVE10"/>
    <x v="2"/>
    <x v="125"/>
    <s v="SAVE10"/>
  </r>
  <r>
    <x v="126"/>
    <x v="120"/>
    <s v="C55606"/>
    <x v="6"/>
    <n v="4"/>
    <n v="275.5"/>
    <s v="353 Main St"/>
    <x v="3"/>
    <x v="0"/>
    <s v="TRK68250319"/>
    <n v="8"/>
    <s v="FREESHIP"/>
    <x v="4"/>
    <x v="126"/>
    <s v="FREESHIP"/>
  </r>
  <r>
    <x v="127"/>
    <x v="121"/>
    <s v="C71486"/>
    <x v="6"/>
    <n v="3"/>
    <n v="469.32"/>
    <s v="365 Main St"/>
    <x v="0"/>
    <x v="0"/>
    <s v="TRK73929833"/>
    <n v="3"/>
    <m/>
    <x v="4"/>
    <x v="127"/>
    <s v="No Coupon"/>
  </r>
  <r>
    <x v="128"/>
    <x v="96"/>
    <s v="C86408"/>
    <x v="2"/>
    <n v="4"/>
    <n v="21.07"/>
    <s v="244 Main St"/>
    <x v="3"/>
    <x v="3"/>
    <s v="TRK41432648"/>
    <n v="4"/>
    <s v="FREESHIP"/>
    <x v="4"/>
    <x v="128"/>
    <s v="FREESHIP"/>
  </r>
  <r>
    <x v="129"/>
    <x v="122"/>
    <s v="C52751"/>
    <x v="5"/>
    <n v="4"/>
    <n v="263.93"/>
    <s v="427 Main St"/>
    <x v="0"/>
    <x v="0"/>
    <s v="TRK72481234"/>
    <n v="4"/>
    <s v="FREESHIP"/>
    <x v="3"/>
    <x v="129"/>
    <s v="FREESHIP"/>
  </r>
  <r>
    <x v="130"/>
    <x v="123"/>
    <s v="C29059"/>
    <x v="6"/>
    <n v="3"/>
    <n v="501.3"/>
    <s v="513 Main St"/>
    <x v="1"/>
    <x v="1"/>
    <s v="TRK88360704"/>
    <n v="3"/>
    <s v="WINTER15"/>
    <x v="3"/>
    <x v="130"/>
    <s v="WINTER15"/>
  </r>
  <r>
    <x v="131"/>
    <x v="124"/>
    <s v="C72862"/>
    <x v="2"/>
    <n v="1"/>
    <n v="84.8"/>
    <s v="606 Main St"/>
    <x v="3"/>
    <x v="4"/>
    <s v="TRK51648833"/>
    <n v="5"/>
    <m/>
    <x v="0"/>
    <x v="131"/>
    <s v="No Coupon"/>
  </r>
  <r>
    <x v="132"/>
    <x v="125"/>
    <s v="C96257"/>
    <x v="2"/>
    <n v="4"/>
    <n v="450.75"/>
    <s v="583 Main St"/>
    <x v="2"/>
    <x v="0"/>
    <s v="TRK13137948"/>
    <n v="6"/>
    <s v="WINTER15"/>
    <x v="2"/>
    <x v="132"/>
    <s v="WINTER15"/>
  </r>
  <r>
    <x v="133"/>
    <x v="126"/>
    <s v="C87432"/>
    <x v="3"/>
    <n v="4"/>
    <n v="302.05"/>
    <s v="636 Main St"/>
    <x v="0"/>
    <x v="1"/>
    <s v="TRK68969625"/>
    <n v="6"/>
    <s v="SAVE10"/>
    <x v="4"/>
    <x v="133"/>
    <s v="SAVE10"/>
  </r>
  <r>
    <x v="134"/>
    <x v="127"/>
    <s v="C16253"/>
    <x v="5"/>
    <n v="2"/>
    <n v="199.7"/>
    <s v="583 Main St"/>
    <x v="4"/>
    <x v="4"/>
    <s v="TRK17354894"/>
    <n v="4"/>
    <m/>
    <x v="2"/>
    <x v="134"/>
    <s v="No Coupon"/>
  </r>
  <r>
    <x v="135"/>
    <x v="128"/>
    <s v="C79909"/>
    <x v="4"/>
    <n v="2"/>
    <n v="68.81"/>
    <s v="642 Main St"/>
    <x v="3"/>
    <x v="0"/>
    <s v="TRK86742257"/>
    <n v="5"/>
    <s v="SAVE10"/>
    <x v="1"/>
    <x v="135"/>
    <s v="SAVE10"/>
  </r>
  <r>
    <x v="136"/>
    <x v="129"/>
    <s v="C73370"/>
    <x v="5"/>
    <n v="1"/>
    <n v="44.35"/>
    <s v="595 Main St"/>
    <x v="3"/>
    <x v="1"/>
    <s v="TRK67820278"/>
    <n v="1"/>
    <s v="SAVE10"/>
    <x v="0"/>
    <x v="136"/>
    <s v="SAVE10"/>
  </r>
  <r>
    <x v="137"/>
    <x v="130"/>
    <s v="C50682"/>
    <x v="0"/>
    <n v="2"/>
    <n v="250.98"/>
    <s v="598 Main St"/>
    <x v="2"/>
    <x v="3"/>
    <s v="TRK12242337"/>
    <n v="5"/>
    <m/>
    <x v="4"/>
    <x v="137"/>
    <s v="No Coupon"/>
  </r>
  <r>
    <x v="138"/>
    <x v="131"/>
    <s v="C21905"/>
    <x v="2"/>
    <n v="1"/>
    <n v="298.06"/>
    <s v="478 Main St"/>
    <x v="0"/>
    <x v="4"/>
    <s v="TRK31863841"/>
    <n v="3"/>
    <s v="WINTER15"/>
    <x v="4"/>
    <x v="138"/>
    <s v="WINTER15"/>
  </r>
  <r>
    <x v="139"/>
    <x v="132"/>
    <s v="C61440"/>
    <x v="1"/>
    <n v="1"/>
    <n v="583.9"/>
    <s v="714 Main St"/>
    <x v="4"/>
    <x v="2"/>
    <s v="TRK33114521"/>
    <n v="1"/>
    <m/>
    <x v="2"/>
    <x v="139"/>
    <s v="No Coupon"/>
  </r>
  <r>
    <x v="140"/>
    <x v="133"/>
    <s v="C33110"/>
    <x v="3"/>
    <n v="3"/>
    <n v="528.14"/>
    <s v="388 Main St"/>
    <x v="1"/>
    <x v="3"/>
    <s v="TRK38624225"/>
    <n v="3"/>
    <s v="FREESHIP"/>
    <x v="2"/>
    <x v="140"/>
    <s v="FREESHIP"/>
  </r>
  <r>
    <x v="141"/>
    <x v="134"/>
    <s v="C80004"/>
    <x v="4"/>
    <n v="3"/>
    <n v="684.14"/>
    <s v="151 Main St"/>
    <x v="4"/>
    <x v="1"/>
    <s v="TRK66230753"/>
    <n v="3"/>
    <s v="WINTER15"/>
    <x v="0"/>
    <x v="141"/>
    <s v="WINTER15"/>
  </r>
  <r>
    <x v="142"/>
    <x v="135"/>
    <s v="C86374"/>
    <x v="6"/>
    <n v="5"/>
    <n v="272.77"/>
    <s v="573 Main St"/>
    <x v="4"/>
    <x v="4"/>
    <s v="TRK79451491"/>
    <n v="7"/>
    <s v="WINTER15"/>
    <x v="2"/>
    <x v="142"/>
    <s v="WINTER15"/>
  </r>
  <r>
    <x v="143"/>
    <x v="136"/>
    <s v="C66521"/>
    <x v="3"/>
    <n v="4"/>
    <n v="400.07"/>
    <s v="933 Main St"/>
    <x v="1"/>
    <x v="0"/>
    <s v="TRK34654244"/>
    <n v="5"/>
    <m/>
    <x v="1"/>
    <x v="143"/>
    <s v="No Coupon"/>
  </r>
  <r>
    <x v="144"/>
    <x v="128"/>
    <s v="C63365"/>
    <x v="6"/>
    <n v="5"/>
    <n v="219.78"/>
    <s v="895 Main St"/>
    <x v="2"/>
    <x v="4"/>
    <s v="TRK80100887"/>
    <n v="8"/>
    <m/>
    <x v="3"/>
    <x v="144"/>
    <s v="No Coupon"/>
  </r>
  <r>
    <x v="145"/>
    <x v="17"/>
    <s v="C85929"/>
    <x v="4"/>
    <n v="3"/>
    <n v="146.91"/>
    <s v="798 Main St"/>
    <x v="2"/>
    <x v="3"/>
    <s v="TRK29318610"/>
    <n v="6"/>
    <s v="FREESHIP"/>
    <x v="4"/>
    <x v="145"/>
    <s v="FREESHIP"/>
  </r>
  <r>
    <x v="146"/>
    <x v="137"/>
    <s v="C84645"/>
    <x v="2"/>
    <n v="2"/>
    <n v="411.49"/>
    <s v="404 Main St"/>
    <x v="2"/>
    <x v="2"/>
    <s v="TRK68893369"/>
    <n v="4"/>
    <m/>
    <x v="0"/>
    <x v="146"/>
    <s v="No Coupon"/>
  </r>
  <r>
    <x v="147"/>
    <x v="138"/>
    <s v="C46316"/>
    <x v="5"/>
    <n v="2"/>
    <n v="465.18"/>
    <s v="893 Main St"/>
    <x v="2"/>
    <x v="1"/>
    <s v="TRK16196000"/>
    <n v="2"/>
    <s v="SAVE10"/>
    <x v="4"/>
    <x v="147"/>
    <s v="SAVE10"/>
  </r>
  <r>
    <x v="148"/>
    <x v="139"/>
    <s v="C35100"/>
    <x v="1"/>
    <n v="2"/>
    <n v="319.91000000000003"/>
    <s v="139 Main St"/>
    <x v="2"/>
    <x v="1"/>
    <s v="TRK56853491"/>
    <n v="3"/>
    <s v="WINTER15"/>
    <x v="4"/>
    <x v="148"/>
    <s v="WINTER15"/>
  </r>
  <r>
    <x v="149"/>
    <x v="140"/>
    <s v="C39671"/>
    <x v="5"/>
    <n v="1"/>
    <n v="217.56"/>
    <s v="174 Main St"/>
    <x v="0"/>
    <x v="3"/>
    <s v="TRK47153818"/>
    <n v="3"/>
    <m/>
    <x v="3"/>
    <x v="149"/>
    <s v="No Coupon"/>
  </r>
  <r>
    <x v="150"/>
    <x v="141"/>
    <s v="C25503"/>
    <x v="1"/>
    <n v="2"/>
    <n v="105.57"/>
    <s v="981 Main St"/>
    <x v="0"/>
    <x v="2"/>
    <s v="TRK29878837"/>
    <n v="5"/>
    <s v="WINTER15"/>
    <x v="4"/>
    <x v="150"/>
    <s v="WINTER15"/>
  </r>
  <r>
    <x v="151"/>
    <x v="142"/>
    <s v="C32960"/>
    <x v="4"/>
    <n v="5"/>
    <n v="444.76"/>
    <s v="947 Main St"/>
    <x v="0"/>
    <x v="2"/>
    <s v="TRK91226500"/>
    <n v="7"/>
    <m/>
    <x v="2"/>
    <x v="151"/>
    <s v="No Coupon"/>
  </r>
  <r>
    <x v="152"/>
    <x v="143"/>
    <s v="C77736"/>
    <x v="3"/>
    <n v="2"/>
    <n v="399.04"/>
    <s v="659 Main St"/>
    <x v="4"/>
    <x v="1"/>
    <s v="TRK90329250"/>
    <n v="3"/>
    <s v="FREESHIP"/>
    <x v="1"/>
    <x v="152"/>
    <s v="FREESHIP"/>
  </r>
  <r>
    <x v="153"/>
    <x v="144"/>
    <s v="C71570"/>
    <x v="3"/>
    <n v="4"/>
    <n v="534.48"/>
    <s v="437 Main St"/>
    <x v="1"/>
    <x v="2"/>
    <s v="TRK95992269"/>
    <n v="9"/>
    <s v="WINTER15"/>
    <x v="0"/>
    <x v="153"/>
    <s v="WINTER15"/>
  </r>
  <r>
    <x v="154"/>
    <x v="145"/>
    <s v="C73587"/>
    <x v="1"/>
    <n v="4"/>
    <n v="408.21"/>
    <s v="727 Main St"/>
    <x v="2"/>
    <x v="4"/>
    <s v="TRK13955543"/>
    <n v="9"/>
    <m/>
    <x v="0"/>
    <x v="154"/>
    <s v="No Coupon"/>
  </r>
  <r>
    <x v="155"/>
    <x v="146"/>
    <s v="C62740"/>
    <x v="1"/>
    <n v="1"/>
    <n v="424.4"/>
    <s v="446 Main St"/>
    <x v="1"/>
    <x v="0"/>
    <s v="TRK20706408"/>
    <n v="6"/>
    <s v="WINTER15"/>
    <x v="1"/>
    <x v="155"/>
    <s v="WINTER15"/>
  </r>
  <r>
    <x v="156"/>
    <x v="147"/>
    <s v="C58808"/>
    <x v="3"/>
    <n v="2"/>
    <n v="269.83"/>
    <s v="651 Main St"/>
    <x v="1"/>
    <x v="3"/>
    <s v="TRK24451893"/>
    <n v="4"/>
    <s v="SAVE10"/>
    <x v="2"/>
    <x v="156"/>
    <s v="SAVE10"/>
  </r>
  <r>
    <x v="157"/>
    <x v="148"/>
    <s v="C50422"/>
    <x v="0"/>
    <n v="2"/>
    <n v="564.58000000000004"/>
    <s v="636 Main St"/>
    <x v="1"/>
    <x v="2"/>
    <s v="TRK71227815"/>
    <n v="4"/>
    <s v="WINTER15"/>
    <x v="3"/>
    <x v="157"/>
    <s v="WINTER15"/>
  </r>
  <r>
    <x v="158"/>
    <x v="149"/>
    <s v="C23334"/>
    <x v="2"/>
    <n v="1"/>
    <n v="331.06"/>
    <s v="737 Main St"/>
    <x v="2"/>
    <x v="4"/>
    <s v="TRK46335144"/>
    <n v="5"/>
    <s v="WINTER15"/>
    <x v="0"/>
    <x v="158"/>
    <s v="WINTER15"/>
  </r>
  <r>
    <x v="159"/>
    <x v="150"/>
    <s v="C48965"/>
    <x v="4"/>
    <n v="1"/>
    <n v="299.35000000000002"/>
    <s v="819 Main St"/>
    <x v="2"/>
    <x v="1"/>
    <s v="TRK50921780"/>
    <n v="5"/>
    <s v="WINTER15"/>
    <x v="2"/>
    <x v="159"/>
    <s v="WINTER15"/>
  </r>
  <r>
    <x v="160"/>
    <x v="96"/>
    <s v="C38669"/>
    <x v="0"/>
    <n v="4"/>
    <n v="101.32"/>
    <s v="240 Main St"/>
    <x v="4"/>
    <x v="4"/>
    <s v="TRK81738254"/>
    <n v="7"/>
    <m/>
    <x v="1"/>
    <x v="160"/>
    <s v="No Coupon"/>
  </r>
  <r>
    <x v="161"/>
    <x v="151"/>
    <s v="C35091"/>
    <x v="0"/>
    <n v="1"/>
    <n v="211.14"/>
    <s v="513 Main St"/>
    <x v="2"/>
    <x v="1"/>
    <s v="TRK53784452"/>
    <n v="1"/>
    <s v="SAVE10"/>
    <x v="3"/>
    <x v="150"/>
    <s v="SAVE10"/>
  </r>
  <r>
    <x v="162"/>
    <x v="152"/>
    <s v="C82313"/>
    <x v="3"/>
    <n v="3"/>
    <n v="65.86"/>
    <s v="917 Main St"/>
    <x v="1"/>
    <x v="4"/>
    <s v="TRK79854624"/>
    <n v="8"/>
    <s v="WINTER15"/>
    <x v="4"/>
    <x v="161"/>
    <s v="WINTER15"/>
  </r>
  <r>
    <x v="163"/>
    <x v="53"/>
    <s v="C99589"/>
    <x v="2"/>
    <n v="1"/>
    <n v="641.39"/>
    <s v="277 Main St"/>
    <x v="1"/>
    <x v="1"/>
    <s v="TRK16695001"/>
    <n v="1"/>
    <m/>
    <x v="1"/>
    <x v="162"/>
    <s v="No Coupon"/>
  </r>
  <r>
    <x v="164"/>
    <x v="153"/>
    <s v="C70566"/>
    <x v="6"/>
    <n v="5"/>
    <n v="536.58000000000004"/>
    <s v="667 Main St"/>
    <x v="3"/>
    <x v="4"/>
    <s v="TRK49673411"/>
    <n v="5"/>
    <s v="SAVE10"/>
    <x v="4"/>
    <x v="163"/>
    <s v="SAVE10"/>
  </r>
  <r>
    <x v="165"/>
    <x v="154"/>
    <s v="C60355"/>
    <x v="0"/>
    <n v="2"/>
    <n v="500.29"/>
    <s v="226 Main St"/>
    <x v="1"/>
    <x v="2"/>
    <s v="TRK30155194"/>
    <n v="7"/>
    <s v="WINTER15"/>
    <x v="4"/>
    <x v="164"/>
    <s v="WINTER15"/>
  </r>
  <r>
    <x v="166"/>
    <x v="155"/>
    <s v="C28889"/>
    <x v="3"/>
    <n v="3"/>
    <n v="86.29"/>
    <s v="565 Main St"/>
    <x v="4"/>
    <x v="3"/>
    <s v="TRK23791726"/>
    <n v="6"/>
    <s v="WINTER15"/>
    <x v="0"/>
    <x v="165"/>
    <s v="WINTER15"/>
  </r>
  <r>
    <x v="167"/>
    <x v="156"/>
    <s v="C88304"/>
    <x v="3"/>
    <n v="2"/>
    <n v="384.14"/>
    <s v="219 Main St"/>
    <x v="1"/>
    <x v="2"/>
    <s v="TRK44268941"/>
    <n v="2"/>
    <s v="WINTER15"/>
    <x v="2"/>
    <x v="166"/>
    <s v="WINTER15"/>
  </r>
  <r>
    <x v="168"/>
    <x v="157"/>
    <s v="C49517"/>
    <x v="4"/>
    <n v="1"/>
    <n v="594.96"/>
    <s v="878 Main St"/>
    <x v="4"/>
    <x v="2"/>
    <s v="TRK78551375"/>
    <n v="6"/>
    <m/>
    <x v="3"/>
    <x v="167"/>
    <s v="No Coupon"/>
  </r>
  <r>
    <x v="169"/>
    <x v="158"/>
    <s v="C35785"/>
    <x v="4"/>
    <n v="1"/>
    <n v="427.82"/>
    <s v="732 Main St"/>
    <x v="1"/>
    <x v="3"/>
    <s v="TRK78923089"/>
    <n v="2"/>
    <s v="WINTER15"/>
    <x v="2"/>
    <x v="168"/>
    <s v="WINTER15"/>
  </r>
  <r>
    <x v="170"/>
    <x v="159"/>
    <s v="C80223"/>
    <x v="6"/>
    <n v="4"/>
    <n v="662.94"/>
    <s v="535 Main St"/>
    <x v="4"/>
    <x v="1"/>
    <s v="TRK68632951"/>
    <n v="8"/>
    <s v="SAVE10"/>
    <x v="0"/>
    <x v="169"/>
    <s v="SAVE10"/>
  </r>
  <r>
    <x v="171"/>
    <x v="160"/>
    <s v="C20448"/>
    <x v="2"/>
    <n v="2"/>
    <n v="148.22"/>
    <s v="336 Main St"/>
    <x v="2"/>
    <x v="3"/>
    <s v="TRK67379895"/>
    <n v="7"/>
    <s v="WINTER15"/>
    <x v="0"/>
    <x v="170"/>
    <s v="WINTER15"/>
  </r>
  <r>
    <x v="172"/>
    <x v="161"/>
    <s v="C34134"/>
    <x v="4"/>
    <n v="1"/>
    <n v="254.12"/>
    <s v="365 Main St"/>
    <x v="1"/>
    <x v="3"/>
    <s v="TRK43074303"/>
    <n v="1"/>
    <s v="WINTER15"/>
    <x v="2"/>
    <x v="171"/>
    <s v="WINTER15"/>
  </r>
  <r>
    <x v="173"/>
    <x v="59"/>
    <s v="C95901"/>
    <x v="1"/>
    <n v="3"/>
    <n v="664.46"/>
    <s v="806 Main St"/>
    <x v="1"/>
    <x v="3"/>
    <s v="TRK56989066"/>
    <n v="4"/>
    <s v="FREESHIP"/>
    <x v="4"/>
    <x v="172"/>
    <s v="FREESHIP"/>
  </r>
  <r>
    <x v="174"/>
    <x v="162"/>
    <s v="C51145"/>
    <x v="4"/>
    <n v="4"/>
    <n v="600.80999999999995"/>
    <s v="790 Main St"/>
    <x v="0"/>
    <x v="3"/>
    <s v="TRK59154274"/>
    <n v="9"/>
    <s v="SAVE10"/>
    <x v="2"/>
    <x v="173"/>
    <s v="SAVE10"/>
  </r>
  <r>
    <x v="175"/>
    <x v="163"/>
    <s v="C78170"/>
    <x v="3"/>
    <n v="5"/>
    <n v="68.34"/>
    <s v="332 Main St"/>
    <x v="0"/>
    <x v="4"/>
    <s v="TRK71410605"/>
    <n v="6"/>
    <s v="WINTER15"/>
    <x v="1"/>
    <x v="174"/>
    <s v="WINTER15"/>
  </r>
  <r>
    <x v="176"/>
    <x v="164"/>
    <s v="C80151"/>
    <x v="2"/>
    <n v="4"/>
    <n v="430.83"/>
    <s v="553 Main St"/>
    <x v="3"/>
    <x v="4"/>
    <s v="TRK88251529"/>
    <n v="8"/>
    <s v="WINTER15"/>
    <x v="1"/>
    <x v="175"/>
    <s v="WINTER15"/>
  </r>
  <r>
    <x v="177"/>
    <x v="165"/>
    <s v="C55632"/>
    <x v="3"/>
    <n v="5"/>
    <n v="431.69"/>
    <s v="354 Main St"/>
    <x v="2"/>
    <x v="4"/>
    <s v="TRK13003066"/>
    <n v="10"/>
    <m/>
    <x v="3"/>
    <x v="176"/>
    <s v="No Coupon"/>
  </r>
  <r>
    <x v="178"/>
    <x v="166"/>
    <s v="C53070"/>
    <x v="3"/>
    <n v="4"/>
    <n v="512.05999999999995"/>
    <s v="283 Main St"/>
    <x v="1"/>
    <x v="3"/>
    <s v="TRK49791755"/>
    <n v="5"/>
    <s v="SAVE10"/>
    <x v="4"/>
    <x v="177"/>
    <s v="SAVE10"/>
  </r>
  <r>
    <x v="179"/>
    <x v="167"/>
    <s v="C27401"/>
    <x v="5"/>
    <n v="3"/>
    <n v="539.91"/>
    <s v="500 Main St"/>
    <x v="2"/>
    <x v="3"/>
    <s v="TRK14332053"/>
    <n v="8"/>
    <m/>
    <x v="2"/>
    <x v="178"/>
    <s v="No Coupon"/>
  </r>
  <r>
    <x v="180"/>
    <x v="168"/>
    <s v="C87216"/>
    <x v="2"/>
    <n v="5"/>
    <n v="316.07"/>
    <s v="970 Main St"/>
    <x v="4"/>
    <x v="2"/>
    <s v="TRK18713727"/>
    <n v="10"/>
    <m/>
    <x v="4"/>
    <x v="179"/>
    <s v="No Coupon"/>
  </r>
  <r>
    <x v="181"/>
    <x v="169"/>
    <s v="C38966"/>
    <x v="4"/>
    <n v="5"/>
    <n v="404.39"/>
    <s v="247 Main St"/>
    <x v="1"/>
    <x v="0"/>
    <s v="TRK17205146"/>
    <n v="10"/>
    <m/>
    <x v="1"/>
    <x v="180"/>
    <s v="No Coupon"/>
  </r>
  <r>
    <x v="182"/>
    <x v="170"/>
    <s v="C16612"/>
    <x v="6"/>
    <n v="1"/>
    <n v="600.54"/>
    <s v="596 Main St"/>
    <x v="0"/>
    <x v="4"/>
    <s v="TRK96188223"/>
    <n v="4"/>
    <s v="WINTER15"/>
    <x v="4"/>
    <x v="181"/>
    <s v="WINTER15"/>
  </r>
  <r>
    <x v="183"/>
    <x v="171"/>
    <s v="C39246"/>
    <x v="0"/>
    <n v="5"/>
    <n v="186.28"/>
    <s v="258 Main St"/>
    <x v="0"/>
    <x v="3"/>
    <s v="TRK16658182"/>
    <n v="8"/>
    <s v="SAVE10"/>
    <x v="2"/>
    <x v="182"/>
    <s v="SAVE10"/>
  </r>
  <r>
    <x v="184"/>
    <x v="172"/>
    <s v="C65180"/>
    <x v="2"/>
    <n v="4"/>
    <n v="214.54"/>
    <s v="231 Main St"/>
    <x v="3"/>
    <x v="1"/>
    <s v="TRK39255469"/>
    <n v="7"/>
    <m/>
    <x v="1"/>
    <x v="183"/>
    <s v="No Coupon"/>
  </r>
  <r>
    <x v="185"/>
    <x v="61"/>
    <s v="C46877"/>
    <x v="5"/>
    <n v="1"/>
    <n v="210.7"/>
    <s v="572 Main St"/>
    <x v="1"/>
    <x v="0"/>
    <s v="TRK96935978"/>
    <n v="2"/>
    <s v="WINTER15"/>
    <x v="1"/>
    <x v="184"/>
    <s v="WINTER15"/>
  </r>
  <r>
    <x v="186"/>
    <x v="173"/>
    <s v="C30334"/>
    <x v="1"/>
    <n v="2"/>
    <n v="133.55000000000001"/>
    <s v="322 Main St"/>
    <x v="4"/>
    <x v="4"/>
    <s v="TRK66388885"/>
    <n v="7"/>
    <s v="FREESHIP"/>
    <x v="3"/>
    <x v="185"/>
    <s v="FREESHIP"/>
  </r>
  <r>
    <x v="187"/>
    <x v="174"/>
    <s v="C21227"/>
    <x v="3"/>
    <n v="1"/>
    <n v="590.87"/>
    <s v="689 Main St"/>
    <x v="3"/>
    <x v="2"/>
    <s v="TRK79129657"/>
    <n v="6"/>
    <s v="FREESHIP"/>
    <x v="1"/>
    <x v="186"/>
    <s v="FREESHIP"/>
  </r>
  <r>
    <x v="188"/>
    <x v="175"/>
    <s v="C97715"/>
    <x v="3"/>
    <n v="2"/>
    <n v="363.91"/>
    <s v="927 Main St"/>
    <x v="3"/>
    <x v="0"/>
    <s v="TRK19515949"/>
    <n v="2"/>
    <s v="FREESHIP"/>
    <x v="1"/>
    <x v="187"/>
    <s v="FREESHIP"/>
  </r>
  <r>
    <x v="189"/>
    <x v="176"/>
    <s v="C48939"/>
    <x v="4"/>
    <n v="5"/>
    <n v="429.45"/>
    <s v="597 Main St"/>
    <x v="3"/>
    <x v="1"/>
    <s v="TRK62786764"/>
    <n v="5"/>
    <s v="WINTER15"/>
    <x v="2"/>
    <x v="188"/>
    <s v="WINTER15"/>
  </r>
  <r>
    <x v="190"/>
    <x v="169"/>
    <s v="C35483"/>
    <x v="4"/>
    <n v="3"/>
    <n v="223.7"/>
    <s v="725 Main St"/>
    <x v="4"/>
    <x v="2"/>
    <s v="TRK79638203"/>
    <n v="3"/>
    <s v="SAVE10"/>
    <x v="2"/>
    <x v="189"/>
    <s v="SAVE10"/>
  </r>
  <r>
    <x v="191"/>
    <x v="177"/>
    <s v="C51494"/>
    <x v="5"/>
    <n v="2"/>
    <n v="488.87"/>
    <s v="505 Main St"/>
    <x v="1"/>
    <x v="1"/>
    <s v="TRK58520306"/>
    <n v="4"/>
    <s v="FREESHIP"/>
    <x v="4"/>
    <x v="190"/>
    <s v="FREESHIP"/>
  </r>
  <r>
    <x v="192"/>
    <x v="178"/>
    <s v="C58410"/>
    <x v="6"/>
    <n v="1"/>
    <n v="645.46"/>
    <s v="151 Main St"/>
    <x v="3"/>
    <x v="1"/>
    <s v="TRK19749672"/>
    <n v="5"/>
    <s v="SAVE10"/>
    <x v="4"/>
    <x v="191"/>
    <s v="SAVE10"/>
  </r>
  <r>
    <x v="193"/>
    <x v="179"/>
    <s v="C11644"/>
    <x v="4"/>
    <n v="1"/>
    <n v="46.66"/>
    <s v="429 Main St"/>
    <x v="4"/>
    <x v="1"/>
    <s v="TRK81320339"/>
    <n v="6"/>
    <m/>
    <x v="4"/>
    <x v="192"/>
    <s v="No Coupon"/>
  </r>
  <r>
    <x v="194"/>
    <x v="180"/>
    <s v="C53501"/>
    <x v="0"/>
    <n v="1"/>
    <n v="249.57"/>
    <s v="899 Main St"/>
    <x v="4"/>
    <x v="0"/>
    <s v="TRK90144892"/>
    <n v="3"/>
    <s v="FREESHIP"/>
    <x v="4"/>
    <x v="193"/>
    <s v="FREESHIP"/>
  </r>
  <r>
    <x v="195"/>
    <x v="181"/>
    <s v="C63619"/>
    <x v="3"/>
    <n v="3"/>
    <n v="619.21"/>
    <s v="801 Main St"/>
    <x v="0"/>
    <x v="1"/>
    <s v="TRK65385674"/>
    <n v="6"/>
    <m/>
    <x v="2"/>
    <x v="194"/>
    <s v="No Coupon"/>
  </r>
  <r>
    <x v="196"/>
    <x v="182"/>
    <s v="C40882"/>
    <x v="6"/>
    <n v="4"/>
    <n v="217.13"/>
    <s v="719 Main St"/>
    <x v="4"/>
    <x v="3"/>
    <s v="TRK64165503"/>
    <n v="8"/>
    <s v="WINTER15"/>
    <x v="2"/>
    <x v="195"/>
    <s v="WINTER15"/>
  </r>
  <r>
    <x v="197"/>
    <x v="183"/>
    <s v="C80135"/>
    <x v="5"/>
    <n v="5"/>
    <n v="221.51"/>
    <s v="723 Main St"/>
    <x v="4"/>
    <x v="2"/>
    <s v="TRK95222269"/>
    <n v="5"/>
    <s v="WINTER15"/>
    <x v="1"/>
    <x v="196"/>
    <s v="WINTER15"/>
  </r>
  <r>
    <x v="198"/>
    <x v="184"/>
    <s v="C37594"/>
    <x v="5"/>
    <n v="4"/>
    <n v="340.3"/>
    <s v="926 Main St"/>
    <x v="4"/>
    <x v="1"/>
    <s v="TRK94405162"/>
    <n v="8"/>
    <s v="SAVE10"/>
    <x v="1"/>
    <x v="197"/>
    <s v="SAVE10"/>
  </r>
  <r>
    <x v="199"/>
    <x v="185"/>
    <s v="C87524"/>
    <x v="1"/>
    <n v="1"/>
    <n v="625"/>
    <s v="358 Main St"/>
    <x v="1"/>
    <x v="2"/>
    <s v="TRK21114341"/>
    <n v="5"/>
    <s v="WINTER15"/>
    <x v="4"/>
    <x v="198"/>
    <s v="WINTER15"/>
  </r>
  <r>
    <x v="200"/>
    <x v="186"/>
    <s v="C97681"/>
    <x v="2"/>
    <n v="5"/>
    <n v="433.26"/>
    <s v="895 Main St"/>
    <x v="2"/>
    <x v="3"/>
    <s v="TRK37531040"/>
    <n v="9"/>
    <s v="SAVE10"/>
    <x v="4"/>
    <x v="199"/>
    <s v="SAVE10"/>
  </r>
  <r>
    <x v="201"/>
    <x v="187"/>
    <s v="C10126"/>
    <x v="0"/>
    <n v="2"/>
    <n v="674.9"/>
    <s v="146 Main St"/>
    <x v="1"/>
    <x v="0"/>
    <s v="TRK75607531"/>
    <n v="4"/>
    <s v="SAVE10"/>
    <x v="3"/>
    <x v="200"/>
    <s v="SAVE10"/>
  </r>
  <r>
    <x v="202"/>
    <x v="188"/>
    <s v="C36938"/>
    <x v="0"/>
    <n v="3"/>
    <n v="253.98"/>
    <s v="636 Main St"/>
    <x v="2"/>
    <x v="1"/>
    <s v="TRK52522904"/>
    <n v="3"/>
    <s v="FREESHIP"/>
    <x v="2"/>
    <x v="201"/>
    <s v="FREESHIP"/>
  </r>
  <r>
    <x v="203"/>
    <x v="94"/>
    <s v="C99173"/>
    <x v="4"/>
    <n v="3"/>
    <n v="356.84"/>
    <s v="172 Main St"/>
    <x v="1"/>
    <x v="0"/>
    <s v="TRK89849342"/>
    <n v="5"/>
    <s v="SAVE10"/>
    <x v="0"/>
    <x v="202"/>
    <s v="SAVE10"/>
  </r>
  <r>
    <x v="204"/>
    <x v="189"/>
    <s v="C99775"/>
    <x v="5"/>
    <n v="4"/>
    <n v="413.71"/>
    <s v="478 Main St"/>
    <x v="3"/>
    <x v="1"/>
    <s v="TRK21638425"/>
    <n v="9"/>
    <s v="FREESHIP"/>
    <x v="3"/>
    <x v="203"/>
    <s v="FREESHIP"/>
  </r>
  <r>
    <x v="205"/>
    <x v="190"/>
    <s v="C19266"/>
    <x v="6"/>
    <n v="3"/>
    <n v="147.38999999999999"/>
    <s v="609 Main St"/>
    <x v="0"/>
    <x v="2"/>
    <s v="TRK58357269"/>
    <n v="3"/>
    <m/>
    <x v="2"/>
    <x v="204"/>
    <s v="No Coupon"/>
  </r>
  <r>
    <x v="206"/>
    <x v="162"/>
    <s v="C31072"/>
    <x v="5"/>
    <n v="4"/>
    <n v="229.1"/>
    <s v="729 Main St"/>
    <x v="3"/>
    <x v="2"/>
    <s v="TRK77172975"/>
    <n v="8"/>
    <s v="WINTER15"/>
    <x v="2"/>
    <x v="205"/>
    <s v="WINTER15"/>
  </r>
  <r>
    <x v="207"/>
    <x v="191"/>
    <s v="C54595"/>
    <x v="1"/>
    <n v="1"/>
    <n v="121.96"/>
    <s v="999 Main St"/>
    <x v="0"/>
    <x v="3"/>
    <s v="TRK44416659"/>
    <n v="3"/>
    <m/>
    <x v="4"/>
    <x v="206"/>
    <s v="No Coupon"/>
  </r>
  <r>
    <x v="208"/>
    <x v="192"/>
    <s v="C87777"/>
    <x v="6"/>
    <n v="2"/>
    <n v="408.32"/>
    <s v="597 Main St"/>
    <x v="1"/>
    <x v="0"/>
    <s v="TRK29003608"/>
    <n v="3"/>
    <s v="FREESHIP"/>
    <x v="3"/>
    <x v="207"/>
    <s v="FREESHIP"/>
  </r>
  <r>
    <x v="209"/>
    <x v="193"/>
    <s v="C35854"/>
    <x v="2"/>
    <n v="5"/>
    <n v="187.97"/>
    <s v="706 Main St"/>
    <x v="4"/>
    <x v="2"/>
    <s v="TRK30615168"/>
    <n v="9"/>
    <s v="SAVE10"/>
    <x v="4"/>
    <x v="208"/>
    <s v="SAVE10"/>
  </r>
  <r>
    <x v="210"/>
    <x v="194"/>
    <s v="C93821"/>
    <x v="3"/>
    <n v="3"/>
    <n v="358.48"/>
    <s v="513 Main St"/>
    <x v="3"/>
    <x v="3"/>
    <s v="TRK10658539"/>
    <n v="7"/>
    <s v="FREESHIP"/>
    <x v="3"/>
    <x v="209"/>
    <s v="FREESHIP"/>
  </r>
  <r>
    <x v="211"/>
    <x v="195"/>
    <s v="C54390"/>
    <x v="4"/>
    <n v="3"/>
    <n v="193.58"/>
    <s v="185 Main St"/>
    <x v="3"/>
    <x v="4"/>
    <s v="TRK83853742"/>
    <n v="7"/>
    <s v="FREESHIP"/>
    <x v="2"/>
    <x v="210"/>
    <s v="FREESHIP"/>
  </r>
  <r>
    <x v="212"/>
    <x v="196"/>
    <s v="C53215"/>
    <x v="0"/>
    <n v="1"/>
    <n v="265.38"/>
    <s v="367 Main St"/>
    <x v="2"/>
    <x v="1"/>
    <s v="TRK34751835"/>
    <n v="6"/>
    <s v="WINTER15"/>
    <x v="2"/>
    <x v="211"/>
    <s v="WINTER15"/>
  </r>
  <r>
    <x v="213"/>
    <x v="197"/>
    <s v="C71122"/>
    <x v="5"/>
    <n v="1"/>
    <n v="634.4"/>
    <s v="317 Main St"/>
    <x v="4"/>
    <x v="1"/>
    <s v="TRK54757882"/>
    <n v="6"/>
    <s v="SAVE10"/>
    <x v="2"/>
    <x v="212"/>
    <s v="SAVE10"/>
  </r>
  <r>
    <x v="214"/>
    <x v="58"/>
    <s v="C29483"/>
    <x v="6"/>
    <n v="4"/>
    <n v="305.72000000000003"/>
    <s v="673 Main St"/>
    <x v="1"/>
    <x v="3"/>
    <s v="TRK89423603"/>
    <n v="5"/>
    <m/>
    <x v="3"/>
    <x v="213"/>
    <s v="No Coupon"/>
  </r>
  <r>
    <x v="215"/>
    <x v="121"/>
    <s v="C26767"/>
    <x v="4"/>
    <n v="1"/>
    <n v="303.60000000000002"/>
    <s v="432 Main St"/>
    <x v="4"/>
    <x v="0"/>
    <s v="TRK24585307"/>
    <n v="5"/>
    <s v="FREESHIP"/>
    <x v="3"/>
    <x v="214"/>
    <s v="FREESHIP"/>
  </r>
  <r>
    <x v="216"/>
    <x v="198"/>
    <s v="C70492"/>
    <x v="0"/>
    <n v="4"/>
    <n v="496"/>
    <s v="811 Main St"/>
    <x v="1"/>
    <x v="1"/>
    <s v="TRK84625405"/>
    <n v="8"/>
    <s v="WINTER15"/>
    <x v="4"/>
    <x v="215"/>
    <s v="WINTER15"/>
  </r>
  <r>
    <x v="217"/>
    <x v="199"/>
    <s v="C61549"/>
    <x v="6"/>
    <n v="4"/>
    <n v="321.51"/>
    <s v="908 Main St"/>
    <x v="4"/>
    <x v="2"/>
    <s v="TRK65596914"/>
    <n v="9"/>
    <m/>
    <x v="4"/>
    <x v="216"/>
    <s v="No Coupon"/>
  </r>
  <r>
    <x v="218"/>
    <x v="200"/>
    <s v="C11665"/>
    <x v="2"/>
    <n v="3"/>
    <n v="112.46"/>
    <s v="882 Main St"/>
    <x v="3"/>
    <x v="0"/>
    <s v="TRK10993930"/>
    <n v="6"/>
    <s v="SAVE10"/>
    <x v="0"/>
    <x v="217"/>
    <s v="SAVE10"/>
  </r>
  <r>
    <x v="219"/>
    <x v="201"/>
    <s v="C48946"/>
    <x v="5"/>
    <n v="5"/>
    <n v="61.97"/>
    <s v="457 Main St"/>
    <x v="4"/>
    <x v="3"/>
    <s v="TRK99387220"/>
    <n v="6"/>
    <s v="SAVE10"/>
    <x v="2"/>
    <x v="218"/>
    <s v="SAVE10"/>
  </r>
  <r>
    <x v="220"/>
    <x v="202"/>
    <s v="C79506"/>
    <x v="5"/>
    <n v="2"/>
    <n v="373.17"/>
    <s v="497 Main St"/>
    <x v="2"/>
    <x v="4"/>
    <s v="TRK95188748"/>
    <n v="6"/>
    <s v="SAVE10"/>
    <x v="1"/>
    <x v="219"/>
    <s v="SAVE10"/>
  </r>
  <r>
    <x v="221"/>
    <x v="203"/>
    <s v="C93473"/>
    <x v="2"/>
    <n v="5"/>
    <n v="639.37"/>
    <s v="552 Main St"/>
    <x v="0"/>
    <x v="4"/>
    <s v="TRK50003989"/>
    <n v="6"/>
    <s v="SAVE10"/>
    <x v="4"/>
    <x v="220"/>
    <s v="SAVE10"/>
  </r>
  <r>
    <x v="222"/>
    <x v="204"/>
    <s v="C43124"/>
    <x v="3"/>
    <n v="4"/>
    <n v="693.36"/>
    <s v="931 Main St"/>
    <x v="1"/>
    <x v="0"/>
    <s v="TRK17293348"/>
    <n v="8"/>
    <m/>
    <x v="0"/>
    <x v="221"/>
    <s v="No Coupon"/>
  </r>
  <r>
    <x v="223"/>
    <x v="57"/>
    <s v="C22783"/>
    <x v="1"/>
    <n v="4"/>
    <n v="692.91"/>
    <s v="673 Main St"/>
    <x v="2"/>
    <x v="4"/>
    <s v="TRK55009149"/>
    <n v="9"/>
    <s v="SAVE10"/>
    <x v="0"/>
    <x v="222"/>
    <s v="SAVE10"/>
  </r>
  <r>
    <x v="224"/>
    <x v="205"/>
    <s v="C18567"/>
    <x v="4"/>
    <n v="4"/>
    <n v="91.46"/>
    <s v="507 Main St"/>
    <x v="4"/>
    <x v="1"/>
    <s v="TRK17554673"/>
    <n v="9"/>
    <s v="SAVE10"/>
    <x v="1"/>
    <x v="223"/>
    <s v="SAVE10"/>
  </r>
  <r>
    <x v="225"/>
    <x v="206"/>
    <s v="C99879"/>
    <x v="1"/>
    <n v="3"/>
    <n v="273.95999999999998"/>
    <s v="692 Main St"/>
    <x v="0"/>
    <x v="2"/>
    <s v="TRK50246700"/>
    <n v="8"/>
    <s v="SAVE10"/>
    <x v="4"/>
    <x v="224"/>
    <s v="SAVE10"/>
  </r>
  <r>
    <x v="226"/>
    <x v="207"/>
    <s v="C31501"/>
    <x v="6"/>
    <n v="3"/>
    <n v="588.04999999999995"/>
    <s v="242 Main St"/>
    <x v="3"/>
    <x v="3"/>
    <s v="TRK93063929"/>
    <n v="8"/>
    <m/>
    <x v="0"/>
    <x v="225"/>
    <s v="No Coupon"/>
  </r>
  <r>
    <x v="227"/>
    <x v="208"/>
    <s v="C93220"/>
    <x v="0"/>
    <n v="2"/>
    <n v="365.17"/>
    <s v="353 Main St"/>
    <x v="1"/>
    <x v="1"/>
    <s v="TRK89023251"/>
    <n v="4"/>
    <s v="FREESHIP"/>
    <x v="3"/>
    <x v="226"/>
    <s v="FREESHIP"/>
  </r>
  <r>
    <x v="228"/>
    <x v="209"/>
    <s v="C57867"/>
    <x v="3"/>
    <n v="4"/>
    <n v="385.92"/>
    <s v="579 Main St"/>
    <x v="2"/>
    <x v="1"/>
    <s v="TRK92055007"/>
    <n v="8"/>
    <m/>
    <x v="0"/>
    <x v="227"/>
    <s v="No Coupon"/>
  </r>
  <r>
    <x v="229"/>
    <x v="210"/>
    <s v="C62622"/>
    <x v="2"/>
    <n v="1"/>
    <n v="562.61"/>
    <s v="762 Main St"/>
    <x v="2"/>
    <x v="3"/>
    <s v="TRK70997648"/>
    <n v="3"/>
    <s v="WINTER15"/>
    <x v="3"/>
    <x v="228"/>
    <s v="WINTER15"/>
  </r>
  <r>
    <x v="230"/>
    <x v="211"/>
    <s v="C94595"/>
    <x v="6"/>
    <n v="4"/>
    <n v="61.91"/>
    <s v="948 Main St"/>
    <x v="3"/>
    <x v="3"/>
    <s v="TRK24497305"/>
    <n v="6"/>
    <s v="WINTER15"/>
    <x v="2"/>
    <x v="229"/>
    <s v="WINTER15"/>
  </r>
  <r>
    <x v="231"/>
    <x v="212"/>
    <s v="C30955"/>
    <x v="1"/>
    <n v="4"/>
    <n v="41.9"/>
    <s v="327 Main St"/>
    <x v="3"/>
    <x v="4"/>
    <s v="TRK46898848"/>
    <n v="9"/>
    <s v="FREESHIP"/>
    <x v="0"/>
    <x v="230"/>
    <s v="FREESHIP"/>
  </r>
  <r>
    <x v="232"/>
    <x v="213"/>
    <s v="C20731"/>
    <x v="4"/>
    <n v="4"/>
    <n v="444.44"/>
    <s v="610 Main St"/>
    <x v="0"/>
    <x v="1"/>
    <s v="TRK75568437"/>
    <n v="8"/>
    <s v="WINTER15"/>
    <x v="4"/>
    <x v="231"/>
    <s v="WINTER15"/>
  </r>
  <r>
    <x v="233"/>
    <x v="214"/>
    <s v="C30168"/>
    <x v="1"/>
    <n v="3"/>
    <n v="311.33"/>
    <s v="146 Main St"/>
    <x v="4"/>
    <x v="1"/>
    <s v="TRK73699939"/>
    <n v="3"/>
    <s v="WINTER15"/>
    <x v="0"/>
    <x v="232"/>
    <s v="WINTER15"/>
  </r>
  <r>
    <x v="234"/>
    <x v="130"/>
    <s v="C79842"/>
    <x v="4"/>
    <n v="4"/>
    <n v="236.41"/>
    <s v="337 Main St"/>
    <x v="0"/>
    <x v="4"/>
    <s v="TRK26957950"/>
    <n v="7"/>
    <s v="SAVE10"/>
    <x v="4"/>
    <x v="233"/>
    <s v="SAVE10"/>
  </r>
  <r>
    <x v="235"/>
    <x v="215"/>
    <s v="C32854"/>
    <x v="6"/>
    <n v="1"/>
    <n v="65.45"/>
    <s v="815 Main St"/>
    <x v="4"/>
    <x v="4"/>
    <s v="TRK30009218"/>
    <n v="2"/>
    <s v="WINTER15"/>
    <x v="4"/>
    <x v="234"/>
    <s v="WINTER15"/>
  </r>
  <r>
    <x v="236"/>
    <x v="107"/>
    <s v="C14847"/>
    <x v="0"/>
    <n v="1"/>
    <n v="318.81"/>
    <s v="562 Main St"/>
    <x v="0"/>
    <x v="4"/>
    <s v="TRK39663243"/>
    <n v="3"/>
    <s v="WINTER15"/>
    <x v="2"/>
    <x v="235"/>
    <s v="WINTER15"/>
  </r>
  <r>
    <x v="237"/>
    <x v="216"/>
    <s v="C88645"/>
    <x v="0"/>
    <n v="3"/>
    <n v="583.72"/>
    <s v="783 Main St"/>
    <x v="2"/>
    <x v="0"/>
    <s v="TRK74097570"/>
    <n v="5"/>
    <s v="FREESHIP"/>
    <x v="3"/>
    <x v="236"/>
    <s v="FREESHIP"/>
  </r>
  <r>
    <x v="238"/>
    <x v="217"/>
    <s v="C66149"/>
    <x v="6"/>
    <n v="4"/>
    <n v="384.32"/>
    <s v="770 Main St"/>
    <x v="2"/>
    <x v="4"/>
    <s v="TRK76307307"/>
    <n v="6"/>
    <s v="WINTER15"/>
    <x v="4"/>
    <x v="237"/>
    <s v="WINTER15"/>
  </r>
  <r>
    <x v="239"/>
    <x v="218"/>
    <s v="C20256"/>
    <x v="2"/>
    <n v="3"/>
    <n v="538.74"/>
    <s v="456 Main St"/>
    <x v="1"/>
    <x v="0"/>
    <s v="TRK71127943"/>
    <n v="6"/>
    <s v="FREESHIP"/>
    <x v="2"/>
    <x v="238"/>
    <s v="FREESHIP"/>
  </r>
  <r>
    <x v="240"/>
    <x v="219"/>
    <s v="C14983"/>
    <x v="2"/>
    <n v="1"/>
    <n v="17.239999999999998"/>
    <s v="255 Main St"/>
    <x v="1"/>
    <x v="4"/>
    <s v="TRK93444157"/>
    <n v="2"/>
    <s v="FREESHIP"/>
    <x v="0"/>
    <x v="239"/>
    <s v="FREESHIP"/>
  </r>
  <r>
    <x v="241"/>
    <x v="220"/>
    <s v="C20817"/>
    <x v="3"/>
    <n v="5"/>
    <n v="615.66999999999996"/>
    <s v="407 Main St"/>
    <x v="1"/>
    <x v="4"/>
    <s v="TRK44164590"/>
    <n v="6"/>
    <s v="SAVE10"/>
    <x v="2"/>
    <x v="240"/>
    <s v="SAVE10"/>
  </r>
  <r>
    <x v="242"/>
    <x v="221"/>
    <s v="C94921"/>
    <x v="4"/>
    <n v="2"/>
    <n v="219.1"/>
    <s v="134 Main St"/>
    <x v="1"/>
    <x v="4"/>
    <s v="TRK97794327"/>
    <n v="4"/>
    <s v="SAVE10"/>
    <x v="1"/>
    <x v="241"/>
    <s v="SAVE10"/>
  </r>
  <r>
    <x v="243"/>
    <x v="222"/>
    <s v="C54725"/>
    <x v="3"/>
    <n v="2"/>
    <n v="144.66"/>
    <s v="506 Main St"/>
    <x v="1"/>
    <x v="1"/>
    <s v="TRK30601940"/>
    <n v="7"/>
    <s v="FREESHIP"/>
    <x v="4"/>
    <x v="242"/>
    <s v="FREESHIP"/>
  </r>
  <r>
    <x v="244"/>
    <x v="223"/>
    <s v="C98096"/>
    <x v="6"/>
    <n v="2"/>
    <n v="317.77"/>
    <s v="838 Main St"/>
    <x v="0"/>
    <x v="1"/>
    <s v="TRK51518631"/>
    <n v="4"/>
    <s v="WINTER15"/>
    <x v="3"/>
    <x v="243"/>
    <s v="WINTER15"/>
  </r>
  <r>
    <x v="245"/>
    <x v="224"/>
    <s v="C12667"/>
    <x v="5"/>
    <n v="1"/>
    <n v="223.3"/>
    <s v="306 Main St"/>
    <x v="1"/>
    <x v="2"/>
    <s v="TRK25390491"/>
    <n v="1"/>
    <m/>
    <x v="3"/>
    <x v="244"/>
    <s v="No Coupon"/>
  </r>
  <r>
    <x v="246"/>
    <x v="225"/>
    <s v="C55354"/>
    <x v="6"/>
    <n v="2"/>
    <n v="342.11"/>
    <s v="164 Main St"/>
    <x v="3"/>
    <x v="0"/>
    <s v="TRK15439493"/>
    <n v="2"/>
    <s v="WINTER15"/>
    <x v="0"/>
    <x v="245"/>
    <s v="WINTER15"/>
  </r>
  <r>
    <x v="247"/>
    <x v="145"/>
    <s v="C14600"/>
    <x v="4"/>
    <n v="2"/>
    <n v="220.9"/>
    <s v="785 Main St"/>
    <x v="3"/>
    <x v="0"/>
    <s v="TRK84984764"/>
    <n v="4"/>
    <m/>
    <x v="2"/>
    <x v="246"/>
    <s v="No Coupon"/>
  </r>
  <r>
    <x v="248"/>
    <x v="226"/>
    <s v="C97187"/>
    <x v="5"/>
    <n v="1"/>
    <n v="670.54"/>
    <s v="471 Main St"/>
    <x v="4"/>
    <x v="0"/>
    <s v="TRK62283713"/>
    <n v="6"/>
    <s v="FREESHIP"/>
    <x v="1"/>
    <x v="247"/>
    <s v="FREESHIP"/>
  </r>
  <r>
    <x v="249"/>
    <x v="227"/>
    <s v="C39106"/>
    <x v="4"/>
    <n v="1"/>
    <n v="546.19000000000005"/>
    <s v="245 Main St"/>
    <x v="4"/>
    <x v="4"/>
    <s v="TRK35464433"/>
    <n v="5"/>
    <s v="FREESHIP"/>
    <x v="1"/>
    <x v="248"/>
    <s v="FREESHIP"/>
  </r>
  <r>
    <x v="250"/>
    <x v="228"/>
    <s v="C93379"/>
    <x v="6"/>
    <n v="3"/>
    <n v="42.95"/>
    <s v="318 Main St"/>
    <x v="3"/>
    <x v="2"/>
    <s v="TRK67954150"/>
    <n v="8"/>
    <s v="SAVE10"/>
    <x v="2"/>
    <x v="249"/>
    <s v="SAVE10"/>
  </r>
  <r>
    <x v="251"/>
    <x v="229"/>
    <s v="C93175"/>
    <x v="0"/>
    <n v="4"/>
    <n v="14.69"/>
    <s v="814 Main St"/>
    <x v="4"/>
    <x v="1"/>
    <s v="TRK32995144"/>
    <n v="9"/>
    <m/>
    <x v="2"/>
    <x v="250"/>
    <s v="No Coupon"/>
  </r>
  <r>
    <x v="252"/>
    <x v="28"/>
    <s v="C19648"/>
    <x v="1"/>
    <n v="4"/>
    <n v="668.36"/>
    <s v="821 Main St"/>
    <x v="3"/>
    <x v="1"/>
    <s v="TRK51297879"/>
    <n v="5"/>
    <s v="FREESHIP"/>
    <x v="3"/>
    <x v="251"/>
    <s v="FREESHIP"/>
  </r>
  <r>
    <x v="253"/>
    <x v="230"/>
    <s v="C14891"/>
    <x v="3"/>
    <n v="4"/>
    <n v="413.74"/>
    <s v="743 Main St"/>
    <x v="3"/>
    <x v="2"/>
    <s v="TRK79471534"/>
    <n v="7"/>
    <s v="FREESHIP"/>
    <x v="0"/>
    <x v="252"/>
    <s v="FREESHIP"/>
  </r>
  <r>
    <x v="254"/>
    <x v="231"/>
    <s v="C10866"/>
    <x v="0"/>
    <n v="3"/>
    <n v="263.19"/>
    <s v="770 Main St"/>
    <x v="1"/>
    <x v="3"/>
    <s v="TRK34809583"/>
    <n v="5"/>
    <m/>
    <x v="0"/>
    <x v="253"/>
    <s v="No Coupon"/>
  </r>
  <r>
    <x v="255"/>
    <x v="232"/>
    <s v="C47283"/>
    <x v="0"/>
    <n v="1"/>
    <n v="263.95999999999998"/>
    <s v="806 Main St"/>
    <x v="3"/>
    <x v="2"/>
    <s v="TRK56235117"/>
    <n v="2"/>
    <s v="SAVE10"/>
    <x v="4"/>
    <x v="254"/>
    <s v="SAVE10"/>
  </r>
  <r>
    <x v="256"/>
    <x v="233"/>
    <s v="C94323"/>
    <x v="3"/>
    <n v="5"/>
    <n v="75.81"/>
    <s v="463 Main St"/>
    <x v="3"/>
    <x v="2"/>
    <s v="TRK22663277"/>
    <n v="10"/>
    <s v="WINTER15"/>
    <x v="0"/>
    <x v="255"/>
    <s v="WINTER15"/>
  </r>
  <r>
    <x v="257"/>
    <x v="234"/>
    <s v="C89732"/>
    <x v="1"/>
    <n v="1"/>
    <n v="406.22"/>
    <s v="712 Main St"/>
    <x v="2"/>
    <x v="1"/>
    <s v="TRK41059233"/>
    <n v="5"/>
    <s v="SAVE10"/>
    <x v="1"/>
    <x v="256"/>
    <s v="SAVE10"/>
  </r>
  <r>
    <x v="258"/>
    <x v="235"/>
    <s v="C87764"/>
    <x v="2"/>
    <n v="2"/>
    <n v="103.41"/>
    <s v="294 Main St"/>
    <x v="1"/>
    <x v="0"/>
    <s v="TRK94082469"/>
    <n v="2"/>
    <s v="FREESHIP"/>
    <x v="1"/>
    <x v="257"/>
    <s v="FREESHIP"/>
  </r>
  <r>
    <x v="259"/>
    <x v="236"/>
    <s v="C20977"/>
    <x v="3"/>
    <n v="4"/>
    <n v="435.12"/>
    <s v="636 Main St"/>
    <x v="2"/>
    <x v="3"/>
    <s v="TRK54991561"/>
    <n v="9"/>
    <s v="SAVE10"/>
    <x v="0"/>
    <x v="258"/>
    <s v="SAVE10"/>
  </r>
  <r>
    <x v="260"/>
    <x v="209"/>
    <s v="C12245"/>
    <x v="0"/>
    <n v="2"/>
    <n v="407.79"/>
    <s v="153 Main St"/>
    <x v="0"/>
    <x v="0"/>
    <s v="TRK22000463"/>
    <n v="3"/>
    <m/>
    <x v="4"/>
    <x v="259"/>
    <s v="No Coupon"/>
  </r>
  <r>
    <x v="261"/>
    <x v="237"/>
    <s v="C68976"/>
    <x v="1"/>
    <n v="5"/>
    <n v="173.65"/>
    <s v="460 Main St"/>
    <x v="3"/>
    <x v="3"/>
    <s v="TRK25491356"/>
    <n v="9"/>
    <s v="SAVE10"/>
    <x v="2"/>
    <x v="260"/>
    <s v="SAVE10"/>
  </r>
  <r>
    <x v="262"/>
    <x v="238"/>
    <s v="C69476"/>
    <x v="1"/>
    <n v="4"/>
    <n v="249.07"/>
    <s v="642 Main St"/>
    <x v="2"/>
    <x v="2"/>
    <s v="TRK65869386"/>
    <n v="5"/>
    <s v="WINTER15"/>
    <x v="1"/>
    <x v="261"/>
    <s v="WINTER15"/>
  </r>
  <r>
    <x v="263"/>
    <x v="239"/>
    <s v="C71040"/>
    <x v="1"/>
    <n v="4"/>
    <n v="434.85"/>
    <s v="250 Main St"/>
    <x v="2"/>
    <x v="4"/>
    <s v="TRK41397604"/>
    <n v="4"/>
    <s v="WINTER15"/>
    <x v="4"/>
    <x v="262"/>
    <s v="WINTER15"/>
  </r>
  <r>
    <x v="264"/>
    <x v="240"/>
    <s v="C71035"/>
    <x v="2"/>
    <n v="1"/>
    <n v="436.77"/>
    <s v="977 Main St"/>
    <x v="4"/>
    <x v="2"/>
    <s v="TRK19599578"/>
    <n v="5"/>
    <s v="FREESHIP"/>
    <x v="4"/>
    <x v="263"/>
    <s v="FREESHIP"/>
  </r>
  <r>
    <x v="265"/>
    <x v="241"/>
    <s v="C20752"/>
    <x v="4"/>
    <n v="1"/>
    <n v="572.13"/>
    <s v="150 Main St"/>
    <x v="0"/>
    <x v="1"/>
    <s v="TRK22298450"/>
    <n v="4"/>
    <s v="SAVE10"/>
    <x v="4"/>
    <x v="264"/>
    <s v="SAVE10"/>
  </r>
  <r>
    <x v="266"/>
    <x v="180"/>
    <s v="C38840"/>
    <x v="3"/>
    <n v="4"/>
    <n v="583.07000000000005"/>
    <s v="589 Main St"/>
    <x v="2"/>
    <x v="1"/>
    <s v="TRK48484633"/>
    <n v="6"/>
    <s v="FREESHIP"/>
    <x v="1"/>
    <x v="265"/>
    <s v="FREESHIP"/>
  </r>
  <r>
    <x v="267"/>
    <x v="242"/>
    <s v="C84480"/>
    <x v="3"/>
    <n v="5"/>
    <n v="468.51"/>
    <s v="803 Main St"/>
    <x v="0"/>
    <x v="3"/>
    <s v="TRK62361867"/>
    <n v="9"/>
    <m/>
    <x v="3"/>
    <x v="266"/>
    <s v="No Coupon"/>
  </r>
  <r>
    <x v="268"/>
    <x v="178"/>
    <s v="C37032"/>
    <x v="1"/>
    <n v="2"/>
    <n v="423.88"/>
    <s v="655 Main St"/>
    <x v="0"/>
    <x v="3"/>
    <s v="TRK48639226"/>
    <n v="7"/>
    <s v="SAVE10"/>
    <x v="1"/>
    <x v="267"/>
    <s v="SAVE10"/>
  </r>
  <r>
    <x v="269"/>
    <x v="97"/>
    <s v="C48942"/>
    <x v="2"/>
    <n v="4"/>
    <n v="663.67"/>
    <s v="129 Main St"/>
    <x v="2"/>
    <x v="4"/>
    <s v="TRK29355120"/>
    <n v="7"/>
    <s v="FREESHIP"/>
    <x v="4"/>
    <x v="268"/>
    <s v="FREESHIP"/>
  </r>
  <r>
    <x v="270"/>
    <x v="243"/>
    <s v="C13540"/>
    <x v="4"/>
    <n v="4"/>
    <n v="309.91000000000003"/>
    <s v="127 Main St"/>
    <x v="0"/>
    <x v="0"/>
    <s v="TRK81087373"/>
    <n v="5"/>
    <s v="WINTER15"/>
    <x v="4"/>
    <x v="269"/>
    <s v="WINTER15"/>
  </r>
  <r>
    <x v="271"/>
    <x v="125"/>
    <s v="C59572"/>
    <x v="0"/>
    <n v="1"/>
    <n v="542.07000000000005"/>
    <s v="791 Main St"/>
    <x v="4"/>
    <x v="0"/>
    <s v="TRK16792991"/>
    <n v="6"/>
    <s v="WINTER15"/>
    <x v="1"/>
    <x v="270"/>
    <s v="WINTER15"/>
  </r>
  <r>
    <x v="272"/>
    <x v="244"/>
    <s v="C29758"/>
    <x v="3"/>
    <n v="2"/>
    <n v="399.32"/>
    <s v="119 Main St"/>
    <x v="1"/>
    <x v="4"/>
    <s v="TRK12990043"/>
    <n v="6"/>
    <s v="WINTER15"/>
    <x v="0"/>
    <x v="271"/>
    <s v="WINTER15"/>
  </r>
  <r>
    <x v="273"/>
    <x v="245"/>
    <s v="C11849"/>
    <x v="2"/>
    <n v="2"/>
    <n v="238.25"/>
    <s v="974 Main St"/>
    <x v="1"/>
    <x v="1"/>
    <s v="TRK91195261"/>
    <n v="7"/>
    <s v="FREESHIP"/>
    <x v="2"/>
    <x v="272"/>
    <s v="FREESHIP"/>
  </r>
  <r>
    <x v="274"/>
    <x v="246"/>
    <s v="C50967"/>
    <x v="1"/>
    <n v="2"/>
    <n v="182.4"/>
    <s v="884 Main St"/>
    <x v="3"/>
    <x v="1"/>
    <s v="TRK65300814"/>
    <n v="5"/>
    <s v="SAVE10"/>
    <x v="1"/>
    <x v="273"/>
    <s v="SAVE10"/>
  </r>
  <r>
    <x v="275"/>
    <x v="247"/>
    <s v="C80735"/>
    <x v="3"/>
    <n v="2"/>
    <n v="65.069999999999993"/>
    <s v="360 Main St"/>
    <x v="2"/>
    <x v="1"/>
    <s v="TRK99880231"/>
    <n v="4"/>
    <s v="SAVE10"/>
    <x v="4"/>
    <x v="274"/>
    <s v="SAVE10"/>
  </r>
  <r>
    <x v="276"/>
    <x v="248"/>
    <s v="C99050"/>
    <x v="4"/>
    <n v="2"/>
    <n v="600.57000000000005"/>
    <s v="654 Main St"/>
    <x v="0"/>
    <x v="2"/>
    <s v="TRK56927089"/>
    <n v="3"/>
    <s v="WINTER15"/>
    <x v="0"/>
    <x v="275"/>
    <s v="WINTER15"/>
  </r>
  <r>
    <x v="277"/>
    <x v="82"/>
    <s v="C11210"/>
    <x v="3"/>
    <n v="5"/>
    <n v="90.92"/>
    <s v="910 Main St"/>
    <x v="2"/>
    <x v="3"/>
    <s v="TRK44929965"/>
    <n v="9"/>
    <s v="SAVE10"/>
    <x v="3"/>
    <x v="276"/>
    <s v="SAVE10"/>
  </r>
  <r>
    <x v="278"/>
    <x v="249"/>
    <s v="C46015"/>
    <x v="5"/>
    <n v="5"/>
    <n v="362.46"/>
    <s v="299 Main St"/>
    <x v="4"/>
    <x v="3"/>
    <s v="TRK46598430"/>
    <n v="6"/>
    <s v="FREESHIP"/>
    <x v="0"/>
    <x v="277"/>
    <s v="FREESHIP"/>
  </r>
  <r>
    <x v="279"/>
    <x v="250"/>
    <s v="C69167"/>
    <x v="3"/>
    <n v="3"/>
    <n v="55.01"/>
    <s v="263 Main St"/>
    <x v="1"/>
    <x v="4"/>
    <s v="TRK12425655"/>
    <n v="7"/>
    <s v="WINTER15"/>
    <x v="2"/>
    <x v="278"/>
    <s v="WINTER15"/>
  </r>
  <r>
    <x v="280"/>
    <x v="14"/>
    <s v="C55388"/>
    <x v="2"/>
    <n v="3"/>
    <n v="404.62"/>
    <s v="740 Main St"/>
    <x v="3"/>
    <x v="3"/>
    <s v="TRK75741001"/>
    <n v="6"/>
    <s v="FREESHIP"/>
    <x v="0"/>
    <x v="279"/>
    <s v="FREESHIP"/>
  </r>
  <r>
    <x v="281"/>
    <x v="152"/>
    <s v="C87181"/>
    <x v="6"/>
    <n v="4"/>
    <n v="654.79"/>
    <s v="195 Main St"/>
    <x v="4"/>
    <x v="4"/>
    <s v="TRK60093390"/>
    <n v="9"/>
    <m/>
    <x v="1"/>
    <x v="280"/>
    <s v="No Coupon"/>
  </r>
  <r>
    <x v="282"/>
    <x v="251"/>
    <s v="C30411"/>
    <x v="4"/>
    <n v="4"/>
    <n v="637.79"/>
    <s v="375 Main St"/>
    <x v="3"/>
    <x v="1"/>
    <s v="TRK71810536"/>
    <n v="9"/>
    <s v="FREESHIP"/>
    <x v="4"/>
    <x v="281"/>
    <s v="FREESHIP"/>
  </r>
  <r>
    <x v="283"/>
    <x v="252"/>
    <s v="C39638"/>
    <x v="5"/>
    <n v="4"/>
    <n v="540.33000000000004"/>
    <s v="990 Main St"/>
    <x v="4"/>
    <x v="0"/>
    <s v="TRK69745608"/>
    <n v="6"/>
    <m/>
    <x v="4"/>
    <x v="282"/>
    <s v="No Coupon"/>
  </r>
  <r>
    <x v="284"/>
    <x v="223"/>
    <s v="C27203"/>
    <x v="5"/>
    <n v="5"/>
    <n v="208.17"/>
    <s v="516 Main St"/>
    <x v="2"/>
    <x v="2"/>
    <s v="TRK22023906"/>
    <n v="6"/>
    <s v="SAVE10"/>
    <x v="3"/>
    <x v="283"/>
    <s v="SAVE10"/>
  </r>
  <r>
    <x v="285"/>
    <x v="69"/>
    <s v="C67583"/>
    <x v="1"/>
    <n v="1"/>
    <n v="338.31"/>
    <s v="974 Main St"/>
    <x v="1"/>
    <x v="3"/>
    <s v="TRK93281700"/>
    <n v="3"/>
    <m/>
    <x v="4"/>
    <x v="284"/>
    <s v="No Coupon"/>
  </r>
  <r>
    <x v="286"/>
    <x v="253"/>
    <s v="C70554"/>
    <x v="0"/>
    <n v="3"/>
    <n v="139.44999999999999"/>
    <s v="187 Main St"/>
    <x v="3"/>
    <x v="2"/>
    <s v="TRK61086952"/>
    <n v="8"/>
    <s v="WINTER15"/>
    <x v="4"/>
    <x v="285"/>
    <s v="WINTER15"/>
  </r>
  <r>
    <x v="287"/>
    <x v="254"/>
    <s v="C70437"/>
    <x v="3"/>
    <n v="4"/>
    <n v="655.17999999999995"/>
    <s v="630 Main St"/>
    <x v="1"/>
    <x v="0"/>
    <s v="TRK26628830"/>
    <n v="5"/>
    <m/>
    <x v="3"/>
    <x v="286"/>
    <s v="No Coupon"/>
  </r>
  <r>
    <x v="288"/>
    <x v="255"/>
    <s v="C97643"/>
    <x v="5"/>
    <n v="4"/>
    <n v="512.75"/>
    <s v="537 Main St"/>
    <x v="0"/>
    <x v="2"/>
    <s v="TRK60831391"/>
    <n v="8"/>
    <s v="WINTER15"/>
    <x v="4"/>
    <x v="287"/>
    <s v="WINTER15"/>
  </r>
  <r>
    <x v="289"/>
    <x v="256"/>
    <s v="C17136"/>
    <x v="3"/>
    <n v="4"/>
    <n v="160.49"/>
    <s v="333 Main St"/>
    <x v="2"/>
    <x v="0"/>
    <s v="TRK55362541"/>
    <n v="8"/>
    <s v="WINTER15"/>
    <x v="1"/>
    <x v="288"/>
    <s v="WINTER15"/>
  </r>
  <r>
    <x v="290"/>
    <x v="257"/>
    <s v="C24901"/>
    <x v="3"/>
    <n v="3"/>
    <n v="99.9"/>
    <s v="258 Main St"/>
    <x v="4"/>
    <x v="3"/>
    <s v="TRK14029489"/>
    <n v="8"/>
    <s v="FREESHIP"/>
    <x v="3"/>
    <x v="289"/>
    <s v="FREESHIP"/>
  </r>
  <r>
    <x v="291"/>
    <x v="258"/>
    <s v="C61521"/>
    <x v="1"/>
    <n v="2"/>
    <n v="345.01"/>
    <s v="670 Main St"/>
    <x v="2"/>
    <x v="3"/>
    <s v="TRK93676567"/>
    <n v="6"/>
    <s v="FREESHIP"/>
    <x v="4"/>
    <x v="290"/>
    <s v="FREESHIP"/>
  </r>
  <r>
    <x v="292"/>
    <x v="259"/>
    <s v="C39639"/>
    <x v="0"/>
    <n v="1"/>
    <n v="65.95"/>
    <s v="185 Main St"/>
    <x v="2"/>
    <x v="3"/>
    <s v="TRK31042152"/>
    <n v="5"/>
    <m/>
    <x v="3"/>
    <x v="291"/>
    <s v="No Coupon"/>
  </r>
  <r>
    <x v="293"/>
    <x v="223"/>
    <s v="C33220"/>
    <x v="2"/>
    <n v="4"/>
    <n v="463.04"/>
    <s v="564 Main St"/>
    <x v="3"/>
    <x v="2"/>
    <s v="TRK40450219"/>
    <n v="9"/>
    <m/>
    <x v="0"/>
    <x v="292"/>
    <s v="No Coupon"/>
  </r>
  <r>
    <x v="294"/>
    <x v="260"/>
    <s v="C65414"/>
    <x v="1"/>
    <n v="2"/>
    <n v="297.70999999999998"/>
    <s v="208 Main St"/>
    <x v="1"/>
    <x v="0"/>
    <s v="TRK67562517"/>
    <n v="7"/>
    <s v="SAVE10"/>
    <x v="1"/>
    <x v="293"/>
    <s v="SAVE10"/>
  </r>
  <r>
    <x v="295"/>
    <x v="261"/>
    <s v="C49009"/>
    <x v="4"/>
    <n v="5"/>
    <n v="107.48"/>
    <s v="278 Main St"/>
    <x v="0"/>
    <x v="1"/>
    <s v="TRK46285799"/>
    <n v="9"/>
    <s v="FREESHIP"/>
    <x v="2"/>
    <x v="294"/>
    <s v="FREESHIP"/>
  </r>
  <r>
    <x v="296"/>
    <x v="83"/>
    <s v="C48453"/>
    <x v="6"/>
    <n v="5"/>
    <n v="638.79999999999995"/>
    <s v="434 Main St"/>
    <x v="0"/>
    <x v="1"/>
    <s v="TRK52110494"/>
    <n v="10"/>
    <s v="WINTER15"/>
    <x v="1"/>
    <x v="295"/>
    <s v="WINTER15"/>
  </r>
  <r>
    <x v="297"/>
    <x v="262"/>
    <s v="C68078"/>
    <x v="6"/>
    <n v="2"/>
    <n v="493.88"/>
    <s v="252 Main St"/>
    <x v="2"/>
    <x v="2"/>
    <s v="TRK64862812"/>
    <n v="7"/>
    <s v="SAVE10"/>
    <x v="0"/>
    <x v="296"/>
    <s v="SAVE10"/>
  </r>
  <r>
    <x v="298"/>
    <x v="263"/>
    <s v="C19402"/>
    <x v="4"/>
    <n v="4"/>
    <n v="301.17"/>
    <s v="267 Main St"/>
    <x v="1"/>
    <x v="1"/>
    <s v="TRK97825212"/>
    <n v="6"/>
    <m/>
    <x v="2"/>
    <x v="297"/>
    <s v="No Coupon"/>
  </r>
  <r>
    <x v="299"/>
    <x v="264"/>
    <s v="C30711"/>
    <x v="0"/>
    <n v="1"/>
    <n v="278.66000000000003"/>
    <s v="856 Main St"/>
    <x v="3"/>
    <x v="1"/>
    <s v="TRK42696593"/>
    <n v="2"/>
    <s v="FREESHIP"/>
    <x v="0"/>
    <x v="298"/>
    <s v="FREESHIP"/>
  </r>
  <r>
    <x v="300"/>
    <x v="265"/>
    <s v="C39000"/>
    <x v="1"/>
    <n v="1"/>
    <n v="287.45999999999998"/>
    <s v="894 Main St"/>
    <x v="0"/>
    <x v="2"/>
    <s v="TRK33753945"/>
    <n v="3"/>
    <s v="FREESHIP"/>
    <x v="3"/>
    <x v="299"/>
    <s v="FREESHIP"/>
  </r>
  <r>
    <x v="301"/>
    <x v="67"/>
    <s v="C31105"/>
    <x v="3"/>
    <n v="1"/>
    <n v="583.99"/>
    <s v="726 Main St"/>
    <x v="4"/>
    <x v="1"/>
    <s v="TRK40149095"/>
    <n v="2"/>
    <s v="SAVE10"/>
    <x v="2"/>
    <x v="300"/>
    <s v="SAVE10"/>
  </r>
  <r>
    <x v="302"/>
    <x v="220"/>
    <s v="C29432"/>
    <x v="3"/>
    <n v="3"/>
    <n v="468.74"/>
    <s v="121 Main St"/>
    <x v="4"/>
    <x v="4"/>
    <s v="TRK44142517"/>
    <n v="4"/>
    <s v="FREESHIP"/>
    <x v="0"/>
    <x v="301"/>
    <s v="FREESHIP"/>
  </r>
  <r>
    <x v="303"/>
    <x v="34"/>
    <s v="C48531"/>
    <x v="2"/>
    <n v="1"/>
    <n v="30.54"/>
    <s v="368 Main St"/>
    <x v="0"/>
    <x v="2"/>
    <s v="TRK95462192"/>
    <n v="1"/>
    <m/>
    <x v="4"/>
    <x v="302"/>
    <s v="No Coupon"/>
  </r>
  <r>
    <x v="304"/>
    <x v="266"/>
    <s v="C86762"/>
    <x v="0"/>
    <n v="5"/>
    <n v="408.73"/>
    <s v="326 Main St"/>
    <x v="3"/>
    <x v="3"/>
    <s v="TRK75686292"/>
    <n v="10"/>
    <s v="FREESHIP"/>
    <x v="0"/>
    <x v="303"/>
    <s v="FREESHIP"/>
  </r>
  <r>
    <x v="305"/>
    <x v="97"/>
    <s v="C63822"/>
    <x v="5"/>
    <n v="4"/>
    <n v="126.89"/>
    <s v="235 Main St"/>
    <x v="4"/>
    <x v="4"/>
    <s v="TRK59353216"/>
    <n v="9"/>
    <s v="FREESHIP"/>
    <x v="0"/>
    <x v="304"/>
    <s v="FREESHIP"/>
  </r>
  <r>
    <x v="306"/>
    <x v="267"/>
    <s v="C70495"/>
    <x v="4"/>
    <n v="2"/>
    <n v="57.07"/>
    <s v="238 Main St"/>
    <x v="0"/>
    <x v="2"/>
    <s v="TRK65511225"/>
    <n v="3"/>
    <s v="SAVE10"/>
    <x v="0"/>
    <x v="305"/>
    <s v="SAVE10"/>
  </r>
  <r>
    <x v="307"/>
    <x v="268"/>
    <s v="C92407"/>
    <x v="5"/>
    <n v="3"/>
    <n v="557.41"/>
    <s v="135 Main St"/>
    <x v="1"/>
    <x v="3"/>
    <s v="TRK11755610"/>
    <n v="4"/>
    <m/>
    <x v="2"/>
    <x v="306"/>
    <s v="No Coupon"/>
  </r>
  <r>
    <x v="308"/>
    <x v="66"/>
    <s v="C75888"/>
    <x v="4"/>
    <n v="3"/>
    <n v="448.9"/>
    <s v="790 Main St"/>
    <x v="0"/>
    <x v="2"/>
    <s v="TRK98467398"/>
    <n v="7"/>
    <s v="SAVE10"/>
    <x v="0"/>
    <x v="307"/>
    <s v="SAVE10"/>
  </r>
  <r>
    <x v="309"/>
    <x v="269"/>
    <s v="C63153"/>
    <x v="3"/>
    <n v="4"/>
    <n v="549.76"/>
    <s v="625 Main St"/>
    <x v="0"/>
    <x v="3"/>
    <s v="TRK38033305"/>
    <n v="4"/>
    <s v="FREESHIP"/>
    <x v="3"/>
    <x v="308"/>
    <s v="FREESHIP"/>
  </r>
  <r>
    <x v="310"/>
    <x v="270"/>
    <s v="C85863"/>
    <x v="4"/>
    <n v="3"/>
    <n v="132.47999999999999"/>
    <s v="968 Main St"/>
    <x v="1"/>
    <x v="0"/>
    <s v="TRK16094218"/>
    <n v="4"/>
    <m/>
    <x v="1"/>
    <x v="309"/>
    <s v="No Coupon"/>
  </r>
  <r>
    <x v="311"/>
    <x v="271"/>
    <s v="C71698"/>
    <x v="6"/>
    <n v="5"/>
    <n v="489.37"/>
    <s v="274 Main St"/>
    <x v="1"/>
    <x v="2"/>
    <s v="TRK34786818"/>
    <n v="8"/>
    <m/>
    <x v="0"/>
    <x v="310"/>
    <s v="No Coupon"/>
  </r>
  <r>
    <x v="312"/>
    <x v="272"/>
    <s v="C35397"/>
    <x v="4"/>
    <n v="5"/>
    <n v="66.31"/>
    <s v="579 Main St"/>
    <x v="3"/>
    <x v="4"/>
    <s v="TRK64742535"/>
    <n v="7"/>
    <s v="FREESHIP"/>
    <x v="1"/>
    <x v="311"/>
    <s v="FREESHIP"/>
  </r>
  <r>
    <x v="313"/>
    <x v="273"/>
    <s v="C67687"/>
    <x v="3"/>
    <n v="2"/>
    <n v="434.3"/>
    <s v="978 Main St"/>
    <x v="4"/>
    <x v="3"/>
    <s v="TRK22838735"/>
    <n v="7"/>
    <s v="SAVE10"/>
    <x v="0"/>
    <x v="312"/>
    <s v="SAVE10"/>
  </r>
  <r>
    <x v="314"/>
    <x v="274"/>
    <s v="C29931"/>
    <x v="6"/>
    <n v="4"/>
    <n v="153.09"/>
    <s v="540 Main St"/>
    <x v="1"/>
    <x v="3"/>
    <s v="TRK48712417"/>
    <n v="4"/>
    <s v="FREESHIP"/>
    <x v="1"/>
    <x v="313"/>
    <s v="FREESHIP"/>
  </r>
  <r>
    <x v="315"/>
    <x v="275"/>
    <s v="C59139"/>
    <x v="2"/>
    <n v="5"/>
    <n v="91.67"/>
    <s v="301 Main St"/>
    <x v="1"/>
    <x v="1"/>
    <s v="TRK45507090"/>
    <n v="9"/>
    <s v="FREESHIP"/>
    <x v="2"/>
    <x v="314"/>
    <s v="FREESHIP"/>
  </r>
  <r>
    <x v="316"/>
    <x v="276"/>
    <s v="C66078"/>
    <x v="6"/>
    <n v="4"/>
    <n v="275.27999999999997"/>
    <s v="101 Main St"/>
    <x v="3"/>
    <x v="0"/>
    <s v="TRK86474559"/>
    <n v="9"/>
    <s v="WINTER15"/>
    <x v="3"/>
    <x v="315"/>
    <s v="WINTER15"/>
  </r>
  <r>
    <x v="317"/>
    <x v="132"/>
    <s v="C88370"/>
    <x v="0"/>
    <n v="2"/>
    <n v="139.94999999999999"/>
    <s v="339 Main St"/>
    <x v="1"/>
    <x v="2"/>
    <s v="TRK22575151"/>
    <n v="5"/>
    <m/>
    <x v="0"/>
    <x v="316"/>
    <s v="No Coupon"/>
  </r>
  <r>
    <x v="318"/>
    <x v="277"/>
    <s v="C93375"/>
    <x v="3"/>
    <n v="3"/>
    <n v="148.72"/>
    <s v="317 Main St"/>
    <x v="0"/>
    <x v="1"/>
    <s v="TRK95706967"/>
    <n v="7"/>
    <s v="SAVE10"/>
    <x v="4"/>
    <x v="317"/>
    <s v="SAVE10"/>
  </r>
  <r>
    <x v="319"/>
    <x v="278"/>
    <s v="C53049"/>
    <x v="5"/>
    <n v="2"/>
    <n v="563.05999999999995"/>
    <s v="413 Main St"/>
    <x v="4"/>
    <x v="2"/>
    <s v="TRK48974907"/>
    <n v="6"/>
    <m/>
    <x v="0"/>
    <x v="318"/>
    <s v="No Coupon"/>
  </r>
  <r>
    <x v="320"/>
    <x v="36"/>
    <s v="C55590"/>
    <x v="4"/>
    <n v="1"/>
    <n v="625.51"/>
    <s v="772 Main St"/>
    <x v="2"/>
    <x v="0"/>
    <s v="TRK48792951"/>
    <n v="1"/>
    <s v="FREESHIP"/>
    <x v="3"/>
    <x v="319"/>
    <s v="FREESHIP"/>
  </r>
  <r>
    <x v="321"/>
    <x v="279"/>
    <s v="C47086"/>
    <x v="1"/>
    <n v="4"/>
    <n v="152.29"/>
    <s v="135 Main St"/>
    <x v="0"/>
    <x v="1"/>
    <s v="TRK44194358"/>
    <n v="6"/>
    <s v="WINTER15"/>
    <x v="4"/>
    <x v="320"/>
    <s v="WINTER15"/>
  </r>
  <r>
    <x v="322"/>
    <x v="280"/>
    <s v="C48646"/>
    <x v="1"/>
    <n v="5"/>
    <n v="231.82"/>
    <s v="339 Main St"/>
    <x v="0"/>
    <x v="3"/>
    <s v="TRK18233748"/>
    <n v="6"/>
    <s v="SAVE10"/>
    <x v="3"/>
    <x v="321"/>
    <s v="SAVE10"/>
  </r>
  <r>
    <x v="323"/>
    <x v="281"/>
    <s v="C29416"/>
    <x v="5"/>
    <n v="1"/>
    <n v="150.16999999999999"/>
    <s v="414 Main St"/>
    <x v="0"/>
    <x v="2"/>
    <s v="TRK63820842"/>
    <n v="1"/>
    <s v="SAVE10"/>
    <x v="1"/>
    <x v="322"/>
    <s v="SAVE10"/>
  </r>
  <r>
    <x v="324"/>
    <x v="136"/>
    <s v="C13525"/>
    <x v="2"/>
    <n v="3"/>
    <n v="70.930000000000007"/>
    <s v="847 Main St"/>
    <x v="0"/>
    <x v="2"/>
    <s v="TRK70193221"/>
    <n v="5"/>
    <m/>
    <x v="1"/>
    <x v="323"/>
    <s v="No Coupon"/>
  </r>
  <r>
    <x v="325"/>
    <x v="282"/>
    <s v="C53545"/>
    <x v="6"/>
    <n v="3"/>
    <n v="361.39"/>
    <s v="665 Main St"/>
    <x v="2"/>
    <x v="0"/>
    <s v="TRK61123177"/>
    <n v="8"/>
    <m/>
    <x v="1"/>
    <x v="324"/>
    <s v="No Coupon"/>
  </r>
  <r>
    <x v="326"/>
    <x v="283"/>
    <s v="C65986"/>
    <x v="5"/>
    <n v="5"/>
    <n v="670.48"/>
    <s v="273 Main St"/>
    <x v="3"/>
    <x v="2"/>
    <s v="TRK98353867"/>
    <n v="5"/>
    <s v="SAVE10"/>
    <x v="3"/>
    <x v="325"/>
    <s v="SAVE10"/>
  </r>
  <r>
    <x v="327"/>
    <x v="284"/>
    <s v="C17302"/>
    <x v="1"/>
    <n v="1"/>
    <n v="359.99"/>
    <s v="385 Main St"/>
    <x v="3"/>
    <x v="1"/>
    <s v="TRK43940016"/>
    <n v="5"/>
    <s v="SAVE10"/>
    <x v="2"/>
    <x v="326"/>
    <s v="SAVE10"/>
  </r>
  <r>
    <x v="328"/>
    <x v="285"/>
    <s v="C18404"/>
    <x v="2"/>
    <n v="5"/>
    <n v="674.04"/>
    <s v="546 Main St"/>
    <x v="1"/>
    <x v="1"/>
    <s v="TRK89401624"/>
    <n v="7"/>
    <s v="SAVE10"/>
    <x v="4"/>
    <x v="327"/>
    <s v="SAVE10"/>
  </r>
  <r>
    <x v="329"/>
    <x v="286"/>
    <s v="C88371"/>
    <x v="3"/>
    <n v="4"/>
    <n v="283.16000000000003"/>
    <s v="306 Main St"/>
    <x v="2"/>
    <x v="0"/>
    <s v="TRK63224811"/>
    <n v="6"/>
    <m/>
    <x v="4"/>
    <x v="328"/>
    <s v="No Coupon"/>
  </r>
  <r>
    <x v="330"/>
    <x v="287"/>
    <s v="C38068"/>
    <x v="6"/>
    <n v="5"/>
    <n v="260.52999999999997"/>
    <s v="532 Main St"/>
    <x v="3"/>
    <x v="4"/>
    <s v="TRK54059198"/>
    <n v="5"/>
    <s v="SAVE10"/>
    <x v="0"/>
    <x v="329"/>
    <s v="SAVE10"/>
  </r>
  <r>
    <x v="331"/>
    <x v="288"/>
    <s v="C78724"/>
    <x v="4"/>
    <n v="3"/>
    <n v="422.13"/>
    <s v="187 Main St"/>
    <x v="1"/>
    <x v="3"/>
    <s v="TRK25703134"/>
    <n v="7"/>
    <s v="SAVE10"/>
    <x v="3"/>
    <x v="330"/>
    <s v="SAVE10"/>
  </r>
  <r>
    <x v="332"/>
    <x v="289"/>
    <s v="C26163"/>
    <x v="6"/>
    <n v="5"/>
    <n v="125.02"/>
    <s v="607 Main St"/>
    <x v="0"/>
    <x v="4"/>
    <s v="TRK67499316"/>
    <n v="9"/>
    <s v="SAVE10"/>
    <x v="4"/>
    <x v="331"/>
    <s v="SAVE10"/>
  </r>
  <r>
    <x v="333"/>
    <x v="162"/>
    <s v="C87124"/>
    <x v="1"/>
    <n v="1"/>
    <n v="198.51"/>
    <s v="818 Main St"/>
    <x v="2"/>
    <x v="2"/>
    <s v="TRK52086740"/>
    <n v="5"/>
    <s v="WINTER15"/>
    <x v="0"/>
    <x v="332"/>
    <s v="WINTER15"/>
  </r>
  <r>
    <x v="334"/>
    <x v="290"/>
    <s v="C90348"/>
    <x v="3"/>
    <n v="4"/>
    <n v="224.75"/>
    <s v="728 Main St"/>
    <x v="1"/>
    <x v="3"/>
    <s v="TRK20635777"/>
    <n v="7"/>
    <s v="WINTER15"/>
    <x v="3"/>
    <x v="333"/>
    <s v="WINTER15"/>
  </r>
  <r>
    <x v="335"/>
    <x v="291"/>
    <s v="C58721"/>
    <x v="2"/>
    <n v="3"/>
    <n v="205.86"/>
    <s v="978 Main St"/>
    <x v="3"/>
    <x v="0"/>
    <s v="TRK34801199"/>
    <n v="4"/>
    <m/>
    <x v="2"/>
    <x v="334"/>
    <s v="No Coupon"/>
  </r>
  <r>
    <x v="336"/>
    <x v="10"/>
    <s v="C88174"/>
    <x v="5"/>
    <n v="1"/>
    <n v="18.2"/>
    <s v="441 Main St"/>
    <x v="0"/>
    <x v="4"/>
    <s v="TRK10143345"/>
    <n v="4"/>
    <s v="SAVE10"/>
    <x v="0"/>
    <x v="335"/>
    <s v="SAVE10"/>
  </r>
  <r>
    <x v="337"/>
    <x v="292"/>
    <s v="C77763"/>
    <x v="2"/>
    <n v="3"/>
    <n v="502.77"/>
    <s v="599 Main St"/>
    <x v="0"/>
    <x v="2"/>
    <s v="TRK66980447"/>
    <n v="8"/>
    <s v="WINTER15"/>
    <x v="2"/>
    <x v="336"/>
    <s v="WINTER15"/>
  </r>
  <r>
    <x v="338"/>
    <x v="293"/>
    <s v="C53627"/>
    <x v="1"/>
    <n v="5"/>
    <n v="305.49"/>
    <s v="704 Main St"/>
    <x v="0"/>
    <x v="0"/>
    <s v="TRK64112352"/>
    <n v="10"/>
    <m/>
    <x v="1"/>
    <x v="337"/>
    <s v="No Coupon"/>
  </r>
  <r>
    <x v="339"/>
    <x v="294"/>
    <s v="C84563"/>
    <x v="4"/>
    <n v="2"/>
    <n v="236.33"/>
    <s v="398 Main St"/>
    <x v="1"/>
    <x v="4"/>
    <s v="TRK62422797"/>
    <n v="3"/>
    <s v="SAVE10"/>
    <x v="0"/>
    <x v="338"/>
    <s v="SAVE10"/>
  </r>
  <r>
    <x v="340"/>
    <x v="295"/>
    <s v="C76207"/>
    <x v="5"/>
    <n v="5"/>
    <n v="521.25"/>
    <s v="826 Main St"/>
    <x v="4"/>
    <x v="1"/>
    <s v="TRK25569378"/>
    <n v="8"/>
    <m/>
    <x v="2"/>
    <x v="339"/>
    <s v="No Coupon"/>
  </r>
  <r>
    <x v="341"/>
    <x v="296"/>
    <s v="C94671"/>
    <x v="2"/>
    <n v="1"/>
    <n v="167.15"/>
    <s v="293 Main St"/>
    <x v="3"/>
    <x v="0"/>
    <s v="TRK61357272"/>
    <n v="5"/>
    <s v="WINTER15"/>
    <x v="2"/>
    <x v="340"/>
    <s v="WINTER15"/>
  </r>
  <r>
    <x v="342"/>
    <x v="53"/>
    <s v="C69994"/>
    <x v="0"/>
    <n v="5"/>
    <n v="466.42"/>
    <s v="619 Main St"/>
    <x v="3"/>
    <x v="2"/>
    <s v="TRK95935805"/>
    <n v="5"/>
    <m/>
    <x v="1"/>
    <x v="341"/>
    <s v="No Coupon"/>
  </r>
  <r>
    <x v="343"/>
    <x v="297"/>
    <s v="C64638"/>
    <x v="4"/>
    <n v="1"/>
    <n v="527.57000000000005"/>
    <s v="919 Main St"/>
    <x v="0"/>
    <x v="4"/>
    <s v="TRK64087938"/>
    <n v="3"/>
    <s v="FREESHIP"/>
    <x v="3"/>
    <x v="342"/>
    <s v="FREESHIP"/>
  </r>
  <r>
    <x v="344"/>
    <x v="298"/>
    <s v="C95623"/>
    <x v="2"/>
    <n v="3"/>
    <n v="623.34"/>
    <s v="248 Main St"/>
    <x v="1"/>
    <x v="1"/>
    <s v="TRK67558189"/>
    <n v="3"/>
    <s v="SAVE10"/>
    <x v="0"/>
    <x v="343"/>
    <s v="SAVE10"/>
  </r>
  <r>
    <x v="345"/>
    <x v="173"/>
    <s v="C24751"/>
    <x v="2"/>
    <n v="5"/>
    <n v="501.26"/>
    <s v="259 Main St"/>
    <x v="3"/>
    <x v="0"/>
    <s v="TRK37285406"/>
    <n v="10"/>
    <s v="FREESHIP"/>
    <x v="1"/>
    <x v="344"/>
    <s v="FREESHIP"/>
  </r>
  <r>
    <x v="346"/>
    <x v="299"/>
    <s v="C31764"/>
    <x v="2"/>
    <n v="1"/>
    <n v="655.09"/>
    <s v="876 Main St"/>
    <x v="4"/>
    <x v="4"/>
    <s v="TRK44680433"/>
    <n v="6"/>
    <m/>
    <x v="1"/>
    <x v="345"/>
    <s v="No Coupon"/>
  </r>
  <r>
    <x v="347"/>
    <x v="300"/>
    <s v="C83556"/>
    <x v="4"/>
    <n v="4"/>
    <n v="264.79000000000002"/>
    <s v="380 Main St"/>
    <x v="2"/>
    <x v="4"/>
    <s v="TRK21109187"/>
    <n v="5"/>
    <s v="SAVE10"/>
    <x v="4"/>
    <x v="346"/>
    <s v="SAVE10"/>
  </r>
  <r>
    <x v="348"/>
    <x v="206"/>
    <s v="C24369"/>
    <x v="5"/>
    <n v="3"/>
    <n v="359.73"/>
    <s v="885 Main St"/>
    <x v="0"/>
    <x v="2"/>
    <s v="TRK72633998"/>
    <n v="7"/>
    <s v="FREESHIP"/>
    <x v="2"/>
    <x v="347"/>
    <s v="FREESHIP"/>
  </r>
  <r>
    <x v="349"/>
    <x v="115"/>
    <s v="C39648"/>
    <x v="3"/>
    <n v="1"/>
    <n v="465.33"/>
    <s v="824 Main St"/>
    <x v="3"/>
    <x v="3"/>
    <s v="TRK56016905"/>
    <n v="2"/>
    <s v="FREESHIP"/>
    <x v="4"/>
    <x v="348"/>
    <s v="FREESHIP"/>
  </r>
  <r>
    <x v="350"/>
    <x v="301"/>
    <s v="C13296"/>
    <x v="3"/>
    <n v="2"/>
    <n v="54.41"/>
    <s v="495 Main St"/>
    <x v="1"/>
    <x v="0"/>
    <s v="TRK60127216"/>
    <n v="6"/>
    <m/>
    <x v="0"/>
    <x v="349"/>
    <s v="No Coupon"/>
  </r>
  <r>
    <x v="351"/>
    <x v="302"/>
    <s v="C94248"/>
    <x v="5"/>
    <n v="1"/>
    <n v="64.66"/>
    <s v="494 Main St"/>
    <x v="0"/>
    <x v="3"/>
    <s v="TRK89406816"/>
    <n v="4"/>
    <m/>
    <x v="0"/>
    <x v="350"/>
    <s v="No Coupon"/>
  </r>
  <r>
    <x v="352"/>
    <x v="303"/>
    <s v="C26637"/>
    <x v="3"/>
    <n v="5"/>
    <n v="173.96"/>
    <s v="995 Main St"/>
    <x v="0"/>
    <x v="4"/>
    <s v="TRK59546992"/>
    <n v="8"/>
    <s v="WINTER15"/>
    <x v="0"/>
    <x v="351"/>
    <s v="WINTER15"/>
  </r>
  <r>
    <x v="353"/>
    <x v="210"/>
    <s v="C16012"/>
    <x v="2"/>
    <n v="1"/>
    <n v="630.82000000000005"/>
    <s v="171 Main St"/>
    <x v="1"/>
    <x v="3"/>
    <s v="TRK15195225"/>
    <n v="5"/>
    <s v="FREESHIP"/>
    <x v="4"/>
    <x v="352"/>
    <s v="FREESHIP"/>
  </r>
  <r>
    <x v="354"/>
    <x v="304"/>
    <s v="C31772"/>
    <x v="1"/>
    <n v="1"/>
    <n v="693.41"/>
    <s v="992 Main St"/>
    <x v="0"/>
    <x v="0"/>
    <s v="TRK11970357"/>
    <n v="4"/>
    <m/>
    <x v="0"/>
    <x v="353"/>
    <s v="No Coupon"/>
  </r>
  <r>
    <x v="355"/>
    <x v="305"/>
    <s v="C18353"/>
    <x v="2"/>
    <n v="3"/>
    <n v="433.33"/>
    <s v="677 Main St"/>
    <x v="2"/>
    <x v="1"/>
    <s v="TRK78766533"/>
    <n v="4"/>
    <s v="FREESHIP"/>
    <x v="1"/>
    <x v="354"/>
    <s v="FREESHIP"/>
  </r>
  <r>
    <x v="356"/>
    <x v="306"/>
    <s v="C26966"/>
    <x v="4"/>
    <n v="5"/>
    <n v="374.58"/>
    <s v="907 Main St"/>
    <x v="3"/>
    <x v="1"/>
    <s v="TRK83889574"/>
    <n v="10"/>
    <s v="FREESHIP"/>
    <x v="0"/>
    <x v="355"/>
    <s v="FREESHIP"/>
  </r>
  <r>
    <x v="357"/>
    <x v="307"/>
    <s v="C74982"/>
    <x v="5"/>
    <n v="5"/>
    <n v="408.56"/>
    <s v="398 Main St"/>
    <x v="0"/>
    <x v="3"/>
    <s v="TRK98700702"/>
    <n v="8"/>
    <s v="FREESHIP"/>
    <x v="0"/>
    <x v="356"/>
    <s v="FREESHIP"/>
  </r>
  <r>
    <x v="358"/>
    <x v="158"/>
    <s v="C70633"/>
    <x v="2"/>
    <n v="2"/>
    <n v="183.67"/>
    <s v="747 Main St"/>
    <x v="1"/>
    <x v="1"/>
    <s v="TRK82540521"/>
    <n v="3"/>
    <s v="SAVE10"/>
    <x v="4"/>
    <x v="357"/>
    <s v="SAVE10"/>
  </r>
  <r>
    <x v="359"/>
    <x v="308"/>
    <s v="C95643"/>
    <x v="6"/>
    <n v="4"/>
    <n v="606.57000000000005"/>
    <s v="303 Main St"/>
    <x v="0"/>
    <x v="3"/>
    <s v="TRK23286689"/>
    <n v="5"/>
    <s v="WINTER15"/>
    <x v="1"/>
    <x v="358"/>
    <s v="WINTER15"/>
  </r>
  <r>
    <x v="360"/>
    <x v="309"/>
    <s v="C53810"/>
    <x v="1"/>
    <n v="4"/>
    <n v="589.57000000000005"/>
    <s v="779 Main St"/>
    <x v="4"/>
    <x v="4"/>
    <s v="TRK34630612"/>
    <n v="8"/>
    <m/>
    <x v="0"/>
    <x v="359"/>
    <s v="No Coupon"/>
  </r>
  <r>
    <x v="361"/>
    <x v="310"/>
    <s v="C53464"/>
    <x v="4"/>
    <n v="5"/>
    <n v="659.85"/>
    <s v="197 Main St"/>
    <x v="2"/>
    <x v="3"/>
    <s v="TRK32743531"/>
    <n v="9"/>
    <s v="SAVE10"/>
    <x v="3"/>
    <x v="360"/>
    <s v="SAVE10"/>
  </r>
  <r>
    <x v="362"/>
    <x v="78"/>
    <s v="C53697"/>
    <x v="0"/>
    <n v="4"/>
    <n v="206.84"/>
    <s v="312 Main St"/>
    <x v="4"/>
    <x v="1"/>
    <s v="TRK60476656"/>
    <n v="5"/>
    <s v="WINTER15"/>
    <x v="0"/>
    <x v="361"/>
    <s v="WINTER15"/>
  </r>
  <r>
    <x v="363"/>
    <x v="75"/>
    <s v="C31668"/>
    <x v="5"/>
    <n v="5"/>
    <n v="113.87"/>
    <s v="871 Main St"/>
    <x v="2"/>
    <x v="4"/>
    <s v="TRK42584392"/>
    <n v="6"/>
    <s v="SAVE10"/>
    <x v="2"/>
    <x v="362"/>
    <s v="SAVE10"/>
  </r>
  <r>
    <x v="364"/>
    <x v="254"/>
    <s v="C85282"/>
    <x v="1"/>
    <n v="5"/>
    <n v="628.74"/>
    <s v="740 Main St"/>
    <x v="4"/>
    <x v="1"/>
    <s v="TRK86767206"/>
    <n v="9"/>
    <s v="FREESHIP"/>
    <x v="3"/>
    <x v="363"/>
    <s v="FREESHIP"/>
  </r>
  <r>
    <x v="365"/>
    <x v="311"/>
    <s v="C56796"/>
    <x v="1"/>
    <n v="1"/>
    <n v="678.38"/>
    <s v="607 Main St"/>
    <x v="2"/>
    <x v="1"/>
    <s v="TRK74263180"/>
    <n v="4"/>
    <s v="SAVE10"/>
    <x v="1"/>
    <x v="364"/>
    <s v="SAVE10"/>
  </r>
  <r>
    <x v="366"/>
    <x v="312"/>
    <s v="C95213"/>
    <x v="4"/>
    <n v="3"/>
    <n v="602.24"/>
    <s v="603 Main St"/>
    <x v="0"/>
    <x v="4"/>
    <s v="TRK40630538"/>
    <n v="8"/>
    <m/>
    <x v="1"/>
    <x v="365"/>
    <s v="No Coupon"/>
  </r>
  <r>
    <x v="367"/>
    <x v="313"/>
    <s v="C13108"/>
    <x v="5"/>
    <n v="5"/>
    <n v="658.77"/>
    <s v="712 Main St"/>
    <x v="3"/>
    <x v="4"/>
    <s v="TRK82284400"/>
    <n v="10"/>
    <s v="FREESHIP"/>
    <x v="0"/>
    <x v="366"/>
    <s v="FREESHIP"/>
  </r>
  <r>
    <x v="368"/>
    <x v="31"/>
    <s v="C85322"/>
    <x v="0"/>
    <n v="3"/>
    <n v="271.02"/>
    <s v="403 Main St"/>
    <x v="2"/>
    <x v="1"/>
    <s v="TRK89728869"/>
    <n v="6"/>
    <m/>
    <x v="4"/>
    <x v="367"/>
    <s v="No Coupon"/>
  </r>
  <r>
    <x v="369"/>
    <x v="70"/>
    <s v="C43545"/>
    <x v="0"/>
    <n v="5"/>
    <n v="375.25"/>
    <s v="216 Main St"/>
    <x v="3"/>
    <x v="4"/>
    <s v="TRK73937402"/>
    <n v="9"/>
    <s v="SAVE10"/>
    <x v="2"/>
    <x v="368"/>
    <s v="SAVE10"/>
  </r>
  <r>
    <x v="370"/>
    <x v="120"/>
    <s v="C80649"/>
    <x v="1"/>
    <n v="1"/>
    <n v="312.11"/>
    <s v="870 Main St"/>
    <x v="1"/>
    <x v="1"/>
    <s v="TRK41143313"/>
    <n v="4"/>
    <s v="WINTER15"/>
    <x v="3"/>
    <x v="369"/>
    <s v="WINTER15"/>
  </r>
  <r>
    <x v="371"/>
    <x v="314"/>
    <s v="C59752"/>
    <x v="1"/>
    <n v="5"/>
    <n v="307.76"/>
    <s v="179 Main St"/>
    <x v="3"/>
    <x v="4"/>
    <s v="TRK82229639"/>
    <n v="9"/>
    <s v="FREESHIP"/>
    <x v="4"/>
    <x v="370"/>
    <s v="FREESHIP"/>
  </r>
  <r>
    <x v="372"/>
    <x v="311"/>
    <s v="C53645"/>
    <x v="3"/>
    <n v="3"/>
    <n v="483.53"/>
    <s v="166 Main St"/>
    <x v="4"/>
    <x v="2"/>
    <s v="TRK12123939"/>
    <n v="4"/>
    <m/>
    <x v="1"/>
    <x v="371"/>
    <s v="No Coupon"/>
  </r>
  <r>
    <x v="373"/>
    <x v="315"/>
    <s v="C60178"/>
    <x v="5"/>
    <n v="3"/>
    <n v="341.15"/>
    <s v="969 Main St"/>
    <x v="4"/>
    <x v="4"/>
    <s v="TRK84505143"/>
    <n v="4"/>
    <s v="FREESHIP"/>
    <x v="0"/>
    <x v="372"/>
    <s v="FREESHIP"/>
  </r>
  <r>
    <x v="374"/>
    <x v="316"/>
    <s v="C20286"/>
    <x v="0"/>
    <n v="1"/>
    <n v="571.9"/>
    <s v="129 Main St"/>
    <x v="3"/>
    <x v="4"/>
    <s v="TRK67648338"/>
    <n v="1"/>
    <s v="WINTER15"/>
    <x v="0"/>
    <x v="373"/>
    <s v="WINTER15"/>
  </r>
  <r>
    <x v="375"/>
    <x v="317"/>
    <s v="C87547"/>
    <x v="0"/>
    <n v="4"/>
    <n v="95.03"/>
    <s v="400 Main St"/>
    <x v="1"/>
    <x v="0"/>
    <s v="TRK71027262"/>
    <n v="8"/>
    <s v="FREESHIP"/>
    <x v="3"/>
    <x v="374"/>
    <s v="FREESHIP"/>
  </r>
  <r>
    <x v="376"/>
    <x v="318"/>
    <s v="C64549"/>
    <x v="0"/>
    <n v="5"/>
    <n v="201.22"/>
    <s v="341 Main St"/>
    <x v="0"/>
    <x v="4"/>
    <s v="TRK20788231"/>
    <n v="6"/>
    <s v="FREESHIP"/>
    <x v="3"/>
    <x v="375"/>
    <s v="FREESHIP"/>
  </r>
  <r>
    <x v="377"/>
    <x v="319"/>
    <s v="C24884"/>
    <x v="0"/>
    <n v="1"/>
    <n v="260.26"/>
    <s v="625 Main St"/>
    <x v="1"/>
    <x v="4"/>
    <s v="TRK44538419"/>
    <n v="5"/>
    <s v="WINTER15"/>
    <x v="0"/>
    <x v="376"/>
    <s v="WINTER15"/>
  </r>
  <r>
    <x v="378"/>
    <x v="320"/>
    <s v="C62666"/>
    <x v="3"/>
    <n v="5"/>
    <n v="64.5"/>
    <s v="148 Main St"/>
    <x v="2"/>
    <x v="4"/>
    <s v="TRK91029390"/>
    <n v="8"/>
    <s v="WINTER15"/>
    <x v="0"/>
    <x v="377"/>
    <s v="WINTER15"/>
  </r>
  <r>
    <x v="379"/>
    <x v="321"/>
    <s v="C47284"/>
    <x v="1"/>
    <n v="3"/>
    <n v="297.67"/>
    <s v="500 Main St"/>
    <x v="1"/>
    <x v="0"/>
    <s v="TRK85756094"/>
    <n v="6"/>
    <m/>
    <x v="4"/>
    <x v="378"/>
    <s v="No Coupon"/>
  </r>
  <r>
    <x v="380"/>
    <x v="322"/>
    <s v="C35355"/>
    <x v="4"/>
    <n v="4"/>
    <n v="331.9"/>
    <s v="127 Main St"/>
    <x v="4"/>
    <x v="4"/>
    <s v="TRK52935059"/>
    <n v="5"/>
    <s v="SAVE10"/>
    <x v="0"/>
    <x v="379"/>
    <s v="SAVE10"/>
  </r>
  <r>
    <x v="381"/>
    <x v="323"/>
    <s v="C29467"/>
    <x v="3"/>
    <n v="1"/>
    <n v="191.76"/>
    <s v="223 Main St"/>
    <x v="2"/>
    <x v="2"/>
    <s v="TRK98103385"/>
    <n v="1"/>
    <s v="FREESHIP"/>
    <x v="0"/>
    <x v="380"/>
    <s v="FREESHIP"/>
  </r>
  <r>
    <x v="382"/>
    <x v="324"/>
    <s v="C26718"/>
    <x v="4"/>
    <n v="4"/>
    <n v="263.08999999999997"/>
    <s v="272 Main St"/>
    <x v="0"/>
    <x v="0"/>
    <s v="TRK91702525"/>
    <n v="8"/>
    <s v="SAVE10"/>
    <x v="4"/>
    <x v="381"/>
    <s v="SAVE10"/>
  </r>
  <r>
    <x v="383"/>
    <x v="325"/>
    <s v="C18944"/>
    <x v="3"/>
    <n v="4"/>
    <n v="393.8"/>
    <s v="837 Main St"/>
    <x v="2"/>
    <x v="4"/>
    <s v="TRK45275439"/>
    <n v="7"/>
    <s v="SAVE10"/>
    <x v="2"/>
    <x v="382"/>
    <s v="SAVE10"/>
  </r>
  <r>
    <x v="384"/>
    <x v="167"/>
    <s v="C35628"/>
    <x v="3"/>
    <n v="3"/>
    <n v="553.57000000000005"/>
    <s v="147 Main St"/>
    <x v="2"/>
    <x v="2"/>
    <s v="TRK45688220"/>
    <n v="4"/>
    <s v="FREESHIP"/>
    <x v="3"/>
    <x v="383"/>
    <s v="FREESHIP"/>
  </r>
  <r>
    <x v="385"/>
    <x v="150"/>
    <s v="C56851"/>
    <x v="3"/>
    <n v="5"/>
    <n v="191.63"/>
    <s v="752 Main St"/>
    <x v="3"/>
    <x v="3"/>
    <s v="TRK65290904"/>
    <n v="6"/>
    <s v="FREESHIP"/>
    <x v="3"/>
    <x v="384"/>
    <s v="FREESHIP"/>
  </r>
  <r>
    <x v="386"/>
    <x v="200"/>
    <s v="C12421"/>
    <x v="2"/>
    <n v="1"/>
    <n v="93.02"/>
    <s v="373 Main St"/>
    <x v="1"/>
    <x v="2"/>
    <s v="TRK32588504"/>
    <n v="4"/>
    <m/>
    <x v="2"/>
    <x v="385"/>
    <s v="No Coupon"/>
  </r>
  <r>
    <x v="387"/>
    <x v="326"/>
    <s v="C25316"/>
    <x v="4"/>
    <n v="2"/>
    <n v="39.53"/>
    <s v="904 Main St"/>
    <x v="2"/>
    <x v="0"/>
    <s v="TRK55423551"/>
    <n v="3"/>
    <s v="WINTER15"/>
    <x v="4"/>
    <x v="386"/>
    <s v="WINTER15"/>
  </r>
  <r>
    <x v="388"/>
    <x v="153"/>
    <s v="C22657"/>
    <x v="4"/>
    <n v="3"/>
    <n v="633.97"/>
    <s v="152 Main St"/>
    <x v="4"/>
    <x v="4"/>
    <s v="TRK49157047"/>
    <n v="7"/>
    <s v="WINTER15"/>
    <x v="3"/>
    <x v="387"/>
    <s v="WINTER15"/>
  </r>
  <r>
    <x v="389"/>
    <x v="327"/>
    <s v="C29703"/>
    <x v="6"/>
    <n v="4"/>
    <n v="697.5"/>
    <s v="558 Main St"/>
    <x v="4"/>
    <x v="0"/>
    <s v="TRK40543461"/>
    <n v="7"/>
    <s v="FREESHIP"/>
    <x v="1"/>
    <x v="388"/>
    <s v="FREESHIP"/>
  </r>
  <r>
    <x v="390"/>
    <x v="328"/>
    <s v="C55996"/>
    <x v="4"/>
    <n v="5"/>
    <n v="508.69"/>
    <s v="885 Main St"/>
    <x v="4"/>
    <x v="3"/>
    <s v="TRK30547638"/>
    <n v="10"/>
    <s v="FREESHIP"/>
    <x v="4"/>
    <x v="389"/>
    <s v="FREESHIP"/>
  </r>
  <r>
    <x v="391"/>
    <x v="317"/>
    <s v="C60037"/>
    <x v="5"/>
    <n v="2"/>
    <n v="527.46"/>
    <s v="516 Main St"/>
    <x v="0"/>
    <x v="1"/>
    <s v="TRK82009557"/>
    <n v="3"/>
    <s v="FREESHIP"/>
    <x v="1"/>
    <x v="390"/>
    <s v="FREESHIP"/>
  </r>
  <r>
    <x v="392"/>
    <x v="329"/>
    <s v="C95100"/>
    <x v="1"/>
    <n v="1"/>
    <n v="627.20000000000005"/>
    <s v="197 Main St"/>
    <x v="1"/>
    <x v="3"/>
    <s v="TRK47366265"/>
    <n v="1"/>
    <s v="WINTER15"/>
    <x v="2"/>
    <x v="391"/>
    <s v="WINTER15"/>
  </r>
  <r>
    <x v="393"/>
    <x v="330"/>
    <s v="C39906"/>
    <x v="4"/>
    <n v="1"/>
    <n v="75.010000000000005"/>
    <s v="921 Main St"/>
    <x v="2"/>
    <x v="2"/>
    <s v="TRK24632134"/>
    <n v="3"/>
    <m/>
    <x v="4"/>
    <x v="392"/>
    <s v="No Coupon"/>
  </r>
  <r>
    <x v="394"/>
    <x v="176"/>
    <s v="C70148"/>
    <x v="6"/>
    <n v="5"/>
    <n v="529.54999999999995"/>
    <s v="359 Main St"/>
    <x v="3"/>
    <x v="0"/>
    <s v="TRK34848650"/>
    <n v="10"/>
    <m/>
    <x v="3"/>
    <x v="393"/>
    <s v="No Coupon"/>
  </r>
  <r>
    <x v="395"/>
    <x v="331"/>
    <s v="C30010"/>
    <x v="1"/>
    <n v="3"/>
    <n v="127.41"/>
    <s v="830 Main St"/>
    <x v="3"/>
    <x v="3"/>
    <s v="TRK35386084"/>
    <n v="7"/>
    <s v="SAVE10"/>
    <x v="1"/>
    <x v="394"/>
    <s v="SAVE10"/>
  </r>
  <r>
    <x v="396"/>
    <x v="142"/>
    <s v="C99217"/>
    <x v="2"/>
    <n v="5"/>
    <n v="287.13"/>
    <s v="778 Main St"/>
    <x v="1"/>
    <x v="0"/>
    <s v="TRK82004594"/>
    <n v="10"/>
    <s v="SAVE10"/>
    <x v="2"/>
    <x v="395"/>
    <s v="SAVE10"/>
  </r>
  <r>
    <x v="397"/>
    <x v="332"/>
    <s v="C30184"/>
    <x v="0"/>
    <n v="1"/>
    <n v="427.06"/>
    <s v="987 Main St"/>
    <x v="1"/>
    <x v="1"/>
    <s v="TRK86674704"/>
    <n v="1"/>
    <s v="WINTER15"/>
    <x v="1"/>
    <x v="396"/>
    <s v="WINTER15"/>
  </r>
  <r>
    <x v="398"/>
    <x v="333"/>
    <s v="C50275"/>
    <x v="1"/>
    <n v="5"/>
    <n v="53.93"/>
    <s v="729 Main St"/>
    <x v="3"/>
    <x v="0"/>
    <s v="TRK98925264"/>
    <n v="7"/>
    <s v="SAVE10"/>
    <x v="0"/>
    <x v="397"/>
    <s v="SAVE10"/>
  </r>
  <r>
    <x v="399"/>
    <x v="334"/>
    <s v="C64641"/>
    <x v="2"/>
    <n v="5"/>
    <n v="423.93"/>
    <s v="319 Main St"/>
    <x v="0"/>
    <x v="2"/>
    <s v="TRK32012588"/>
    <n v="5"/>
    <s v="FREESHIP"/>
    <x v="3"/>
    <x v="398"/>
    <s v="FREESHIP"/>
  </r>
  <r>
    <x v="400"/>
    <x v="335"/>
    <s v="C56266"/>
    <x v="6"/>
    <n v="4"/>
    <n v="160.22"/>
    <s v="304 Main St"/>
    <x v="0"/>
    <x v="2"/>
    <s v="TRK60088901"/>
    <n v="9"/>
    <s v="WINTER15"/>
    <x v="0"/>
    <x v="399"/>
    <s v="WINTER15"/>
  </r>
  <r>
    <x v="401"/>
    <x v="23"/>
    <s v="C98635"/>
    <x v="4"/>
    <n v="1"/>
    <n v="538.67999999999995"/>
    <s v="197 Main St"/>
    <x v="0"/>
    <x v="2"/>
    <s v="TRK14225465"/>
    <n v="6"/>
    <m/>
    <x v="1"/>
    <x v="400"/>
    <s v="No Coupon"/>
  </r>
  <r>
    <x v="402"/>
    <x v="336"/>
    <s v="C83026"/>
    <x v="4"/>
    <n v="5"/>
    <n v="337.38"/>
    <s v="858 Main St"/>
    <x v="3"/>
    <x v="0"/>
    <s v="TRK79746259"/>
    <n v="5"/>
    <m/>
    <x v="1"/>
    <x v="401"/>
    <s v="No Coupon"/>
  </r>
  <r>
    <x v="403"/>
    <x v="337"/>
    <s v="C28893"/>
    <x v="2"/>
    <n v="1"/>
    <n v="620.21"/>
    <s v="740 Main St"/>
    <x v="1"/>
    <x v="2"/>
    <s v="TRK98333066"/>
    <n v="1"/>
    <s v="FREESHIP"/>
    <x v="1"/>
    <x v="402"/>
    <s v="FREESHIP"/>
  </r>
  <r>
    <x v="404"/>
    <x v="338"/>
    <s v="C45482"/>
    <x v="0"/>
    <n v="2"/>
    <n v="99.1"/>
    <s v="440 Main St"/>
    <x v="4"/>
    <x v="3"/>
    <s v="TRK54571699"/>
    <n v="6"/>
    <m/>
    <x v="0"/>
    <x v="403"/>
    <s v="No Coupon"/>
  </r>
  <r>
    <x v="405"/>
    <x v="281"/>
    <s v="C97774"/>
    <x v="0"/>
    <n v="4"/>
    <n v="451.97"/>
    <s v="603 Main St"/>
    <x v="1"/>
    <x v="1"/>
    <s v="TRK64664424"/>
    <n v="7"/>
    <s v="WINTER15"/>
    <x v="2"/>
    <x v="404"/>
    <s v="WINTER15"/>
  </r>
  <r>
    <x v="406"/>
    <x v="339"/>
    <s v="C11657"/>
    <x v="2"/>
    <n v="4"/>
    <n v="66.099999999999994"/>
    <s v="572 Main St"/>
    <x v="4"/>
    <x v="2"/>
    <s v="TRK50284486"/>
    <n v="9"/>
    <s v="WINTER15"/>
    <x v="4"/>
    <x v="405"/>
    <s v="WINTER15"/>
  </r>
  <r>
    <x v="407"/>
    <x v="340"/>
    <s v="C85993"/>
    <x v="2"/>
    <n v="4"/>
    <n v="547.32000000000005"/>
    <s v="250 Main St"/>
    <x v="4"/>
    <x v="2"/>
    <s v="TRK72547640"/>
    <n v="8"/>
    <s v="FREESHIP"/>
    <x v="0"/>
    <x v="406"/>
    <s v="FREESHIP"/>
  </r>
  <r>
    <x v="408"/>
    <x v="341"/>
    <s v="C11906"/>
    <x v="4"/>
    <n v="3"/>
    <n v="412.53"/>
    <s v="536 Main St"/>
    <x v="1"/>
    <x v="4"/>
    <s v="TRK31140158"/>
    <n v="6"/>
    <s v="WINTER15"/>
    <x v="4"/>
    <x v="407"/>
    <s v="WINTER15"/>
  </r>
  <r>
    <x v="409"/>
    <x v="342"/>
    <s v="C45187"/>
    <x v="6"/>
    <n v="5"/>
    <n v="84.13"/>
    <s v="767 Main St"/>
    <x v="1"/>
    <x v="3"/>
    <s v="TRK12320793"/>
    <n v="9"/>
    <s v="SAVE10"/>
    <x v="4"/>
    <x v="408"/>
    <s v="SAVE10"/>
  </r>
  <r>
    <x v="410"/>
    <x v="343"/>
    <s v="C37375"/>
    <x v="2"/>
    <n v="2"/>
    <n v="518.23"/>
    <s v="184 Main St"/>
    <x v="0"/>
    <x v="0"/>
    <s v="TRK52470162"/>
    <n v="5"/>
    <m/>
    <x v="2"/>
    <x v="409"/>
    <s v="No Coupon"/>
  </r>
  <r>
    <x v="411"/>
    <x v="83"/>
    <s v="C66567"/>
    <x v="6"/>
    <n v="2"/>
    <n v="39.51"/>
    <s v="981 Main St"/>
    <x v="1"/>
    <x v="0"/>
    <s v="TRK21174822"/>
    <n v="5"/>
    <m/>
    <x v="3"/>
    <x v="410"/>
    <s v="No Coupon"/>
  </r>
  <r>
    <x v="412"/>
    <x v="344"/>
    <s v="C42451"/>
    <x v="2"/>
    <n v="5"/>
    <n v="133.01"/>
    <s v="246 Main St"/>
    <x v="2"/>
    <x v="2"/>
    <s v="TRK31313343"/>
    <n v="10"/>
    <m/>
    <x v="3"/>
    <x v="411"/>
    <s v="No Coupon"/>
  </r>
  <r>
    <x v="413"/>
    <x v="345"/>
    <s v="C13923"/>
    <x v="2"/>
    <n v="1"/>
    <n v="118.8"/>
    <s v="123 Main St"/>
    <x v="1"/>
    <x v="3"/>
    <s v="TRK87598790"/>
    <n v="6"/>
    <s v="SAVE10"/>
    <x v="2"/>
    <x v="412"/>
    <s v="SAVE10"/>
  </r>
  <r>
    <x v="414"/>
    <x v="346"/>
    <s v="C11829"/>
    <x v="6"/>
    <n v="2"/>
    <n v="139.57"/>
    <s v="797 Main St"/>
    <x v="4"/>
    <x v="3"/>
    <s v="TRK84229257"/>
    <n v="4"/>
    <s v="WINTER15"/>
    <x v="3"/>
    <x v="413"/>
    <s v="WINTER15"/>
  </r>
  <r>
    <x v="415"/>
    <x v="161"/>
    <s v="C62169"/>
    <x v="3"/>
    <n v="1"/>
    <n v="184.15"/>
    <s v="655 Main St"/>
    <x v="3"/>
    <x v="0"/>
    <s v="TRK64558985"/>
    <n v="5"/>
    <s v="FREESHIP"/>
    <x v="3"/>
    <x v="414"/>
    <s v="FREESHIP"/>
  </r>
  <r>
    <x v="416"/>
    <x v="202"/>
    <s v="C20881"/>
    <x v="5"/>
    <n v="2"/>
    <n v="644.04999999999995"/>
    <s v="652 Main St"/>
    <x v="3"/>
    <x v="1"/>
    <s v="TRK26263902"/>
    <n v="5"/>
    <s v="WINTER15"/>
    <x v="1"/>
    <x v="415"/>
    <s v="WINTER15"/>
  </r>
  <r>
    <x v="417"/>
    <x v="347"/>
    <s v="C44492"/>
    <x v="5"/>
    <n v="5"/>
    <n v="55.41"/>
    <s v="954 Main St"/>
    <x v="1"/>
    <x v="1"/>
    <s v="TRK51429869"/>
    <n v="5"/>
    <m/>
    <x v="4"/>
    <x v="416"/>
    <s v="No Coupon"/>
  </r>
  <r>
    <x v="418"/>
    <x v="348"/>
    <s v="C74169"/>
    <x v="4"/>
    <n v="1"/>
    <n v="310.93"/>
    <s v="862 Main St"/>
    <x v="1"/>
    <x v="1"/>
    <s v="TRK66144809"/>
    <n v="3"/>
    <m/>
    <x v="3"/>
    <x v="417"/>
    <s v="No Coupon"/>
  </r>
  <r>
    <x v="419"/>
    <x v="349"/>
    <s v="C70999"/>
    <x v="2"/>
    <n v="2"/>
    <n v="216.66"/>
    <s v="885 Main St"/>
    <x v="0"/>
    <x v="4"/>
    <s v="TRK75644156"/>
    <n v="6"/>
    <s v="FREESHIP"/>
    <x v="0"/>
    <x v="418"/>
    <s v="FREESHIP"/>
  </r>
  <r>
    <x v="420"/>
    <x v="350"/>
    <s v="C11921"/>
    <x v="1"/>
    <n v="1"/>
    <n v="452.7"/>
    <s v="439 Main St"/>
    <x v="0"/>
    <x v="0"/>
    <s v="TRK91362635"/>
    <n v="5"/>
    <s v="FREESHIP"/>
    <x v="0"/>
    <x v="419"/>
    <s v="FREESHIP"/>
  </r>
  <r>
    <x v="421"/>
    <x v="3"/>
    <s v="C50683"/>
    <x v="3"/>
    <n v="2"/>
    <n v="288.20999999999998"/>
    <s v="769 Main St"/>
    <x v="0"/>
    <x v="1"/>
    <s v="TRK53032122"/>
    <n v="5"/>
    <m/>
    <x v="2"/>
    <x v="420"/>
    <s v="No Coupon"/>
  </r>
  <r>
    <x v="422"/>
    <x v="32"/>
    <s v="C76140"/>
    <x v="1"/>
    <n v="4"/>
    <n v="206.6"/>
    <s v="914 Main St"/>
    <x v="3"/>
    <x v="2"/>
    <s v="TRK25861469"/>
    <n v="6"/>
    <s v="WINTER15"/>
    <x v="1"/>
    <x v="421"/>
    <s v="WINTER15"/>
  </r>
  <r>
    <x v="423"/>
    <x v="351"/>
    <s v="C94311"/>
    <x v="4"/>
    <n v="4"/>
    <n v="685.2"/>
    <s v="195 Main St"/>
    <x v="3"/>
    <x v="1"/>
    <s v="TRK97308771"/>
    <n v="6"/>
    <s v="WINTER15"/>
    <x v="4"/>
    <x v="422"/>
    <s v="WINTER15"/>
  </r>
  <r>
    <x v="424"/>
    <x v="352"/>
    <s v="C49491"/>
    <x v="3"/>
    <n v="5"/>
    <n v="22.94"/>
    <s v="339 Main St"/>
    <x v="4"/>
    <x v="4"/>
    <s v="TRK64012257"/>
    <n v="10"/>
    <m/>
    <x v="2"/>
    <x v="423"/>
    <s v="No Coupon"/>
  </r>
  <r>
    <x v="425"/>
    <x v="338"/>
    <s v="C40648"/>
    <x v="5"/>
    <n v="2"/>
    <n v="301.88"/>
    <s v="488 Main St"/>
    <x v="3"/>
    <x v="2"/>
    <s v="TRK25325993"/>
    <n v="5"/>
    <s v="WINTER15"/>
    <x v="2"/>
    <x v="424"/>
    <s v="WINTER15"/>
  </r>
  <r>
    <x v="426"/>
    <x v="353"/>
    <s v="C40967"/>
    <x v="0"/>
    <n v="5"/>
    <n v="57.45"/>
    <s v="315 Main St"/>
    <x v="4"/>
    <x v="1"/>
    <s v="TRK24839296"/>
    <n v="10"/>
    <m/>
    <x v="3"/>
    <x v="425"/>
    <s v="No Coupon"/>
  </r>
  <r>
    <x v="427"/>
    <x v="144"/>
    <s v="C25406"/>
    <x v="6"/>
    <n v="1"/>
    <n v="161.24"/>
    <s v="379 Main St"/>
    <x v="2"/>
    <x v="4"/>
    <s v="TRK70952564"/>
    <n v="3"/>
    <s v="WINTER15"/>
    <x v="0"/>
    <x v="426"/>
    <s v="WINTER15"/>
  </r>
  <r>
    <x v="428"/>
    <x v="130"/>
    <s v="C77085"/>
    <x v="3"/>
    <n v="4"/>
    <n v="262.58"/>
    <s v="895 Main St"/>
    <x v="1"/>
    <x v="1"/>
    <s v="TRK57227640"/>
    <n v="8"/>
    <s v="WINTER15"/>
    <x v="2"/>
    <x v="427"/>
    <s v="WINTER15"/>
  </r>
  <r>
    <x v="429"/>
    <x v="36"/>
    <s v="C38126"/>
    <x v="4"/>
    <n v="4"/>
    <n v="515.19000000000005"/>
    <s v="522 Main St"/>
    <x v="2"/>
    <x v="4"/>
    <s v="TRK90838498"/>
    <n v="9"/>
    <s v="SAVE10"/>
    <x v="3"/>
    <x v="428"/>
    <s v="SAVE10"/>
  </r>
  <r>
    <x v="430"/>
    <x v="323"/>
    <s v="C87448"/>
    <x v="1"/>
    <n v="1"/>
    <n v="450.07"/>
    <s v="433 Main St"/>
    <x v="3"/>
    <x v="0"/>
    <s v="TRK44134016"/>
    <n v="6"/>
    <s v="FREESHIP"/>
    <x v="4"/>
    <x v="429"/>
    <s v="FREESHIP"/>
  </r>
  <r>
    <x v="431"/>
    <x v="354"/>
    <s v="C62312"/>
    <x v="4"/>
    <n v="1"/>
    <n v="52.54"/>
    <s v="651 Main St"/>
    <x v="0"/>
    <x v="1"/>
    <s v="TRK59623037"/>
    <n v="6"/>
    <s v="WINTER15"/>
    <x v="3"/>
    <x v="430"/>
    <s v="WINTER15"/>
  </r>
  <r>
    <x v="432"/>
    <x v="355"/>
    <s v="C58443"/>
    <x v="2"/>
    <n v="2"/>
    <n v="424.32"/>
    <s v="662 Main St"/>
    <x v="2"/>
    <x v="2"/>
    <s v="TRK77163738"/>
    <n v="6"/>
    <m/>
    <x v="1"/>
    <x v="431"/>
    <s v="No Coupon"/>
  </r>
  <r>
    <x v="433"/>
    <x v="46"/>
    <s v="C36613"/>
    <x v="0"/>
    <n v="3"/>
    <n v="631.64"/>
    <s v="785 Main St"/>
    <x v="2"/>
    <x v="2"/>
    <s v="TRK13282106"/>
    <n v="3"/>
    <s v="FREESHIP"/>
    <x v="3"/>
    <x v="432"/>
    <s v="FREESHIP"/>
  </r>
  <r>
    <x v="434"/>
    <x v="356"/>
    <s v="C73893"/>
    <x v="4"/>
    <n v="5"/>
    <n v="327.68"/>
    <s v="384 Main St"/>
    <x v="2"/>
    <x v="2"/>
    <s v="TRK85939879"/>
    <n v="6"/>
    <m/>
    <x v="3"/>
    <x v="433"/>
    <s v="No Coupon"/>
  </r>
  <r>
    <x v="435"/>
    <x v="156"/>
    <s v="C48601"/>
    <x v="4"/>
    <n v="1"/>
    <n v="414.47"/>
    <s v="101 Main St"/>
    <x v="0"/>
    <x v="2"/>
    <s v="TRK97868309"/>
    <n v="3"/>
    <s v="FREESHIP"/>
    <x v="0"/>
    <x v="434"/>
    <s v="FREESHIP"/>
  </r>
  <r>
    <x v="436"/>
    <x v="91"/>
    <s v="C14568"/>
    <x v="5"/>
    <n v="4"/>
    <n v="221.33"/>
    <s v="651 Main St"/>
    <x v="1"/>
    <x v="4"/>
    <s v="TRK73545796"/>
    <n v="5"/>
    <m/>
    <x v="4"/>
    <x v="435"/>
    <s v="No Coupon"/>
  </r>
  <r>
    <x v="437"/>
    <x v="171"/>
    <s v="C63378"/>
    <x v="1"/>
    <n v="1"/>
    <n v="512.39"/>
    <s v="955 Main St"/>
    <x v="1"/>
    <x v="3"/>
    <s v="TRK20863705"/>
    <n v="2"/>
    <s v="FREESHIP"/>
    <x v="0"/>
    <x v="436"/>
    <s v="FREESHIP"/>
  </r>
  <r>
    <x v="438"/>
    <x v="195"/>
    <s v="C77800"/>
    <x v="2"/>
    <n v="3"/>
    <n v="459.34"/>
    <s v="436 Main St"/>
    <x v="3"/>
    <x v="4"/>
    <s v="TRK27439574"/>
    <n v="3"/>
    <s v="SAVE10"/>
    <x v="0"/>
    <x v="437"/>
    <s v="SAVE10"/>
  </r>
  <r>
    <x v="439"/>
    <x v="50"/>
    <s v="C91155"/>
    <x v="2"/>
    <n v="1"/>
    <n v="146.32"/>
    <s v="321 Main St"/>
    <x v="1"/>
    <x v="0"/>
    <s v="TRK36260319"/>
    <n v="4"/>
    <s v="WINTER15"/>
    <x v="3"/>
    <x v="438"/>
    <s v="WINTER15"/>
  </r>
  <r>
    <x v="440"/>
    <x v="357"/>
    <s v="C60215"/>
    <x v="6"/>
    <n v="4"/>
    <n v="83.6"/>
    <s v="978 Main St"/>
    <x v="0"/>
    <x v="4"/>
    <s v="TRK31727767"/>
    <n v="4"/>
    <s v="SAVE10"/>
    <x v="3"/>
    <x v="439"/>
    <s v="SAVE10"/>
  </r>
  <r>
    <x v="441"/>
    <x v="141"/>
    <s v="C52915"/>
    <x v="4"/>
    <n v="2"/>
    <n v="328.54"/>
    <s v="475 Main St"/>
    <x v="3"/>
    <x v="2"/>
    <s v="TRK79466982"/>
    <n v="6"/>
    <s v="FREESHIP"/>
    <x v="2"/>
    <x v="440"/>
    <s v="FREESHIP"/>
  </r>
  <r>
    <x v="442"/>
    <x v="40"/>
    <s v="C72588"/>
    <x v="3"/>
    <n v="5"/>
    <n v="314.94"/>
    <s v="661 Main St"/>
    <x v="4"/>
    <x v="4"/>
    <s v="TRK43410829"/>
    <n v="8"/>
    <s v="SAVE10"/>
    <x v="0"/>
    <x v="441"/>
    <s v="SAVE10"/>
  </r>
  <r>
    <x v="443"/>
    <x v="358"/>
    <s v="C61668"/>
    <x v="3"/>
    <n v="2"/>
    <n v="69.64"/>
    <s v="813 Main St"/>
    <x v="4"/>
    <x v="2"/>
    <s v="TRK58970302"/>
    <n v="6"/>
    <m/>
    <x v="3"/>
    <x v="442"/>
    <s v="No Coupon"/>
  </r>
  <r>
    <x v="444"/>
    <x v="180"/>
    <s v="C79508"/>
    <x v="4"/>
    <n v="1"/>
    <n v="135.16999999999999"/>
    <s v="585 Main St"/>
    <x v="1"/>
    <x v="0"/>
    <s v="TRK61882353"/>
    <n v="6"/>
    <s v="FREESHIP"/>
    <x v="0"/>
    <x v="443"/>
    <s v="FREESHIP"/>
  </r>
  <r>
    <x v="445"/>
    <x v="230"/>
    <s v="C94569"/>
    <x v="1"/>
    <n v="1"/>
    <n v="487.21"/>
    <s v="227 Main St"/>
    <x v="4"/>
    <x v="3"/>
    <s v="TRK31351770"/>
    <n v="3"/>
    <s v="SAVE10"/>
    <x v="1"/>
    <x v="444"/>
    <s v="SAVE10"/>
  </r>
  <r>
    <x v="446"/>
    <x v="359"/>
    <s v="C89592"/>
    <x v="5"/>
    <n v="5"/>
    <n v="509.58"/>
    <s v="262 Main St"/>
    <x v="1"/>
    <x v="3"/>
    <s v="TRK49442402"/>
    <n v="6"/>
    <s v="FREESHIP"/>
    <x v="0"/>
    <x v="445"/>
    <s v="FREESHIP"/>
  </r>
  <r>
    <x v="447"/>
    <x v="158"/>
    <s v="C48207"/>
    <x v="4"/>
    <n v="2"/>
    <n v="416.81"/>
    <s v="356 Main St"/>
    <x v="4"/>
    <x v="2"/>
    <s v="TRK45355655"/>
    <n v="2"/>
    <m/>
    <x v="3"/>
    <x v="446"/>
    <s v="No Coupon"/>
  </r>
  <r>
    <x v="448"/>
    <x v="355"/>
    <s v="C16776"/>
    <x v="5"/>
    <n v="2"/>
    <n v="160"/>
    <s v="854 Main St"/>
    <x v="4"/>
    <x v="4"/>
    <s v="TRK12860600"/>
    <n v="4"/>
    <s v="SAVE10"/>
    <x v="0"/>
    <x v="447"/>
    <s v="SAVE10"/>
  </r>
  <r>
    <x v="449"/>
    <x v="360"/>
    <s v="C91518"/>
    <x v="2"/>
    <n v="3"/>
    <n v="253.05"/>
    <s v="286 Main St"/>
    <x v="1"/>
    <x v="4"/>
    <s v="TRK48688724"/>
    <n v="3"/>
    <m/>
    <x v="0"/>
    <x v="448"/>
    <s v="No Coupon"/>
  </r>
  <r>
    <x v="450"/>
    <x v="361"/>
    <s v="C36408"/>
    <x v="0"/>
    <n v="5"/>
    <n v="615.1"/>
    <s v="160 Main St"/>
    <x v="3"/>
    <x v="2"/>
    <s v="TRK94023253"/>
    <n v="10"/>
    <s v="WINTER15"/>
    <x v="0"/>
    <x v="449"/>
    <s v="WINTER15"/>
  </r>
  <r>
    <x v="451"/>
    <x v="362"/>
    <s v="C14837"/>
    <x v="0"/>
    <n v="1"/>
    <n v="183.18"/>
    <s v="647 Main St"/>
    <x v="0"/>
    <x v="1"/>
    <s v="TRK17501136"/>
    <n v="6"/>
    <s v="SAVE10"/>
    <x v="2"/>
    <x v="450"/>
    <s v="SAVE10"/>
  </r>
  <r>
    <x v="452"/>
    <x v="363"/>
    <s v="C36467"/>
    <x v="4"/>
    <n v="1"/>
    <n v="75.78"/>
    <s v="581 Main St"/>
    <x v="4"/>
    <x v="4"/>
    <s v="TRK20863987"/>
    <n v="5"/>
    <s v="SAVE10"/>
    <x v="4"/>
    <x v="451"/>
    <s v="SAVE10"/>
  </r>
  <r>
    <x v="453"/>
    <x v="201"/>
    <s v="C15017"/>
    <x v="2"/>
    <n v="1"/>
    <n v="675.57"/>
    <s v="492 Main St"/>
    <x v="4"/>
    <x v="0"/>
    <s v="TRK51241924"/>
    <n v="1"/>
    <s v="WINTER15"/>
    <x v="3"/>
    <x v="452"/>
    <s v="WINTER15"/>
  </r>
  <r>
    <x v="454"/>
    <x v="364"/>
    <s v="C54759"/>
    <x v="5"/>
    <n v="1"/>
    <n v="109.29"/>
    <s v="686 Main St"/>
    <x v="0"/>
    <x v="1"/>
    <s v="TRK75583042"/>
    <n v="5"/>
    <s v="FREESHIP"/>
    <x v="4"/>
    <x v="453"/>
    <s v="FREESHIP"/>
  </r>
  <r>
    <x v="455"/>
    <x v="290"/>
    <s v="C58341"/>
    <x v="1"/>
    <n v="1"/>
    <n v="639.83000000000004"/>
    <s v="874 Main St"/>
    <x v="0"/>
    <x v="4"/>
    <s v="TRK32856728"/>
    <n v="2"/>
    <s v="SAVE10"/>
    <x v="1"/>
    <x v="454"/>
    <s v="SAVE10"/>
  </r>
  <r>
    <x v="456"/>
    <x v="365"/>
    <s v="C94479"/>
    <x v="6"/>
    <n v="5"/>
    <n v="62.81"/>
    <s v="259 Main St"/>
    <x v="2"/>
    <x v="0"/>
    <s v="TRK69089975"/>
    <n v="9"/>
    <s v="SAVE10"/>
    <x v="3"/>
    <x v="455"/>
    <s v="SAVE10"/>
  </r>
  <r>
    <x v="457"/>
    <x v="366"/>
    <s v="C50236"/>
    <x v="6"/>
    <n v="4"/>
    <n v="615.83000000000004"/>
    <s v="545 Main St"/>
    <x v="1"/>
    <x v="2"/>
    <s v="TRK67692578"/>
    <n v="4"/>
    <s v="WINTER15"/>
    <x v="0"/>
    <x v="456"/>
    <s v="WINTER15"/>
  </r>
  <r>
    <x v="458"/>
    <x v="367"/>
    <s v="C31412"/>
    <x v="0"/>
    <n v="4"/>
    <n v="510.58"/>
    <s v="196 Main St"/>
    <x v="2"/>
    <x v="2"/>
    <s v="TRK61946127"/>
    <n v="7"/>
    <s v="WINTER15"/>
    <x v="2"/>
    <x v="457"/>
    <s v="WINTER15"/>
  </r>
  <r>
    <x v="459"/>
    <x v="25"/>
    <s v="C90142"/>
    <x v="6"/>
    <n v="1"/>
    <n v="334.39"/>
    <s v="433 Main St"/>
    <x v="2"/>
    <x v="2"/>
    <s v="TRK39717191"/>
    <n v="2"/>
    <m/>
    <x v="0"/>
    <x v="458"/>
    <s v="No Coupon"/>
  </r>
  <r>
    <x v="460"/>
    <x v="354"/>
    <s v="C83548"/>
    <x v="5"/>
    <n v="1"/>
    <n v="144.25"/>
    <s v="474 Main St"/>
    <x v="4"/>
    <x v="2"/>
    <s v="TRK93822942"/>
    <n v="2"/>
    <s v="WINTER15"/>
    <x v="1"/>
    <x v="459"/>
    <s v="WINTER15"/>
  </r>
  <r>
    <x v="461"/>
    <x v="180"/>
    <s v="C29697"/>
    <x v="2"/>
    <n v="1"/>
    <n v="401.82"/>
    <s v="407 Main St"/>
    <x v="2"/>
    <x v="0"/>
    <s v="TRK47776482"/>
    <n v="5"/>
    <s v="FREESHIP"/>
    <x v="4"/>
    <x v="460"/>
    <s v="FREESHIP"/>
  </r>
  <r>
    <x v="462"/>
    <x v="368"/>
    <s v="C22991"/>
    <x v="1"/>
    <n v="1"/>
    <n v="252.68"/>
    <s v="731 Main St"/>
    <x v="1"/>
    <x v="1"/>
    <s v="TRK32796086"/>
    <n v="1"/>
    <m/>
    <x v="1"/>
    <x v="461"/>
    <s v="No Coupon"/>
  </r>
  <r>
    <x v="463"/>
    <x v="68"/>
    <s v="C25276"/>
    <x v="5"/>
    <n v="5"/>
    <n v="662.78"/>
    <s v="214 Main St"/>
    <x v="0"/>
    <x v="0"/>
    <s v="TRK14011732"/>
    <n v="9"/>
    <s v="SAVE10"/>
    <x v="0"/>
    <x v="462"/>
    <s v="SAVE10"/>
  </r>
  <r>
    <x v="464"/>
    <x v="369"/>
    <s v="C39176"/>
    <x v="2"/>
    <n v="4"/>
    <n v="434.42"/>
    <s v="739 Main St"/>
    <x v="1"/>
    <x v="1"/>
    <s v="TRK71418686"/>
    <n v="6"/>
    <s v="FREESHIP"/>
    <x v="4"/>
    <x v="463"/>
    <s v="FREESHIP"/>
  </r>
  <r>
    <x v="465"/>
    <x v="235"/>
    <s v="C58773"/>
    <x v="4"/>
    <n v="5"/>
    <n v="513.49"/>
    <s v="391 Main St"/>
    <x v="3"/>
    <x v="1"/>
    <s v="TRK65438300"/>
    <n v="8"/>
    <m/>
    <x v="4"/>
    <x v="464"/>
    <s v="No Coupon"/>
  </r>
  <r>
    <x v="466"/>
    <x v="202"/>
    <s v="C37412"/>
    <x v="1"/>
    <n v="1"/>
    <n v="432.47"/>
    <s v="895 Main St"/>
    <x v="4"/>
    <x v="3"/>
    <s v="TRK97829604"/>
    <n v="4"/>
    <s v="FREESHIP"/>
    <x v="1"/>
    <x v="465"/>
    <s v="FREESHIP"/>
  </r>
  <r>
    <x v="467"/>
    <x v="225"/>
    <s v="C36492"/>
    <x v="6"/>
    <n v="1"/>
    <n v="45.94"/>
    <s v="572 Main St"/>
    <x v="4"/>
    <x v="1"/>
    <s v="TRK44350440"/>
    <n v="2"/>
    <s v="WINTER15"/>
    <x v="2"/>
    <x v="466"/>
    <s v="WINTER15"/>
  </r>
  <r>
    <x v="468"/>
    <x v="370"/>
    <s v="C90110"/>
    <x v="1"/>
    <n v="1"/>
    <n v="418.36"/>
    <s v="998 Main St"/>
    <x v="2"/>
    <x v="3"/>
    <s v="TRK60203957"/>
    <n v="5"/>
    <s v="FREESHIP"/>
    <x v="2"/>
    <x v="467"/>
    <s v="FREESHIP"/>
  </r>
  <r>
    <x v="469"/>
    <x v="371"/>
    <s v="C13877"/>
    <x v="3"/>
    <n v="5"/>
    <n v="676.98"/>
    <s v="893 Main St"/>
    <x v="4"/>
    <x v="1"/>
    <s v="TRK17254691"/>
    <n v="5"/>
    <m/>
    <x v="3"/>
    <x v="468"/>
    <s v="No Coupon"/>
  </r>
  <r>
    <x v="470"/>
    <x v="372"/>
    <s v="C25149"/>
    <x v="2"/>
    <n v="4"/>
    <n v="263.62"/>
    <s v="672 Main St"/>
    <x v="4"/>
    <x v="0"/>
    <s v="TRK33538608"/>
    <n v="5"/>
    <s v="SAVE10"/>
    <x v="2"/>
    <x v="469"/>
    <s v="SAVE10"/>
  </r>
  <r>
    <x v="471"/>
    <x v="373"/>
    <s v="C52717"/>
    <x v="6"/>
    <n v="5"/>
    <n v="551.27"/>
    <s v="395 Main St"/>
    <x v="1"/>
    <x v="1"/>
    <s v="TRK27625571"/>
    <n v="7"/>
    <s v="FREESHIP"/>
    <x v="1"/>
    <x v="470"/>
    <s v="FREESHIP"/>
  </r>
  <r>
    <x v="472"/>
    <x v="374"/>
    <s v="C60029"/>
    <x v="3"/>
    <n v="3"/>
    <n v="508.12"/>
    <s v="796 Main St"/>
    <x v="2"/>
    <x v="1"/>
    <s v="TRK86461316"/>
    <n v="8"/>
    <s v="FREESHIP"/>
    <x v="1"/>
    <x v="471"/>
    <s v="FREESHIP"/>
  </r>
  <r>
    <x v="473"/>
    <x v="86"/>
    <s v="C28552"/>
    <x v="3"/>
    <n v="2"/>
    <n v="14.93"/>
    <s v="449 Main St"/>
    <x v="1"/>
    <x v="0"/>
    <s v="TRK71597160"/>
    <n v="4"/>
    <m/>
    <x v="3"/>
    <x v="472"/>
    <s v="No Coupon"/>
  </r>
  <r>
    <x v="474"/>
    <x v="375"/>
    <s v="C72293"/>
    <x v="4"/>
    <n v="3"/>
    <n v="229.34"/>
    <s v="398 Main St"/>
    <x v="2"/>
    <x v="0"/>
    <s v="TRK84378003"/>
    <n v="6"/>
    <s v="SAVE10"/>
    <x v="1"/>
    <x v="473"/>
    <s v="SAVE10"/>
  </r>
  <r>
    <x v="475"/>
    <x v="373"/>
    <s v="C29844"/>
    <x v="2"/>
    <n v="2"/>
    <n v="438.62"/>
    <s v="363 Main St"/>
    <x v="4"/>
    <x v="1"/>
    <s v="TRK91642337"/>
    <n v="3"/>
    <s v="SAVE10"/>
    <x v="3"/>
    <x v="474"/>
    <s v="SAVE10"/>
  </r>
  <r>
    <x v="476"/>
    <x v="361"/>
    <s v="C77872"/>
    <x v="1"/>
    <n v="2"/>
    <n v="513.59"/>
    <s v="867 Main St"/>
    <x v="1"/>
    <x v="2"/>
    <s v="TRK19292184"/>
    <n v="4"/>
    <s v="FREESHIP"/>
    <x v="1"/>
    <x v="475"/>
    <s v="FREESHIP"/>
  </r>
  <r>
    <x v="477"/>
    <x v="376"/>
    <s v="C56564"/>
    <x v="1"/>
    <n v="2"/>
    <n v="253.74"/>
    <s v="481 Main St"/>
    <x v="1"/>
    <x v="0"/>
    <s v="TRK13166044"/>
    <n v="5"/>
    <s v="SAVE10"/>
    <x v="4"/>
    <x v="476"/>
    <s v="SAVE10"/>
  </r>
  <r>
    <x v="478"/>
    <x v="377"/>
    <s v="C16758"/>
    <x v="2"/>
    <n v="3"/>
    <n v="62.77"/>
    <s v="914 Main St"/>
    <x v="3"/>
    <x v="0"/>
    <s v="TRK88544431"/>
    <n v="6"/>
    <s v="FREESHIP"/>
    <x v="1"/>
    <x v="477"/>
    <s v="FREESHIP"/>
  </r>
  <r>
    <x v="479"/>
    <x v="378"/>
    <s v="C87011"/>
    <x v="0"/>
    <n v="4"/>
    <n v="25.29"/>
    <s v="943 Main St"/>
    <x v="2"/>
    <x v="4"/>
    <s v="TRK21429162"/>
    <n v="8"/>
    <m/>
    <x v="4"/>
    <x v="478"/>
    <s v="No Coupon"/>
  </r>
  <r>
    <x v="480"/>
    <x v="379"/>
    <s v="C21147"/>
    <x v="3"/>
    <n v="1"/>
    <n v="335.1"/>
    <s v="126 Main St"/>
    <x v="0"/>
    <x v="4"/>
    <s v="TRK93171043"/>
    <n v="6"/>
    <s v="FREESHIP"/>
    <x v="1"/>
    <x v="479"/>
    <s v="FREESHIP"/>
  </r>
  <r>
    <x v="481"/>
    <x v="295"/>
    <s v="C94568"/>
    <x v="5"/>
    <n v="4"/>
    <n v="484.85"/>
    <s v="317 Main St"/>
    <x v="0"/>
    <x v="3"/>
    <s v="TRK58653915"/>
    <n v="5"/>
    <s v="WINTER15"/>
    <x v="1"/>
    <x v="480"/>
    <s v="WINTER15"/>
  </r>
  <r>
    <x v="482"/>
    <x v="380"/>
    <s v="C35852"/>
    <x v="0"/>
    <n v="3"/>
    <n v="381.41"/>
    <s v="989 Main St"/>
    <x v="1"/>
    <x v="4"/>
    <s v="TRK22302049"/>
    <n v="6"/>
    <m/>
    <x v="0"/>
    <x v="481"/>
    <s v="No Coupon"/>
  </r>
  <r>
    <x v="483"/>
    <x v="381"/>
    <s v="C66462"/>
    <x v="1"/>
    <n v="5"/>
    <n v="347.92"/>
    <s v="982 Main St"/>
    <x v="4"/>
    <x v="4"/>
    <s v="TRK52743700"/>
    <n v="6"/>
    <s v="WINTER15"/>
    <x v="4"/>
    <x v="482"/>
    <s v="WINTER15"/>
  </r>
  <r>
    <x v="484"/>
    <x v="382"/>
    <s v="C29092"/>
    <x v="3"/>
    <n v="4"/>
    <n v="15.01"/>
    <s v="767 Main St"/>
    <x v="4"/>
    <x v="1"/>
    <s v="TRK90455340"/>
    <n v="6"/>
    <m/>
    <x v="3"/>
    <x v="483"/>
    <s v="No Coupon"/>
  </r>
  <r>
    <x v="485"/>
    <x v="383"/>
    <s v="C46651"/>
    <x v="3"/>
    <n v="3"/>
    <n v="404.79"/>
    <s v="764 Main St"/>
    <x v="4"/>
    <x v="0"/>
    <s v="TRK67679195"/>
    <n v="6"/>
    <s v="SAVE10"/>
    <x v="0"/>
    <x v="484"/>
    <s v="SAVE10"/>
  </r>
  <r>
    <x v="486"/>
    <x v="384"/>
    <s v="C88981"/>
    <x v="4"/>
    <n v="4"/>
    <n v="611.26"/>
    <s v="558 Main St"/>
    <x v="4"/>
    <x v="0"/>
    <s v="TRK75267873"/>
    <n v="5"/>
    <s v="SAVE10"/>
    <x v="1"/>
    <x v="485"/>
    <s v="SAVE10"/>
  </r>
  <r>
    <x v="487"/>
    <x v="338"/>
    <s v="C40136"/>
    <x v="4"/>
    <n v="3"/>
    <n v="346.52"/>
    <s v="211 Main St"/>
    <x v="2"/>
    <x v="4"/>
    <s v="TRK92924852"/>
    <n v="3"/>
    <s v="SAVE10"/>
    <x v="4"/>
    <x v="486"/>
    <s v="SAVE10"/>
  </r>
  <r>
    <x v="488"/>
    <x v="194"/>
    <s v="C81573"/>
    <x v="3"/>
    <n v="1"/>
    <n v="36.65"/>
    <s v="556 Main St"/>
    <x v="1"/>
    <x v="1"/>
    <s v="TRK96522994"/>
    <n v="1"/>
    <s v="WINTER15"/>
    <x v="2"/>
    <x v="487"/>
    <s v="WINTER15"/>
  </r>
  <r>
    <x v="489"/>
    <x v="189"/>
    <s v="C11940"/>
    <x v="2"/>
    <n v="3"/>
    <n v="149.34"/>
    <s v="589 Main St"/>
    <x v="3"/>
    <x v="1"/>
    <s v="TRK85466461"/>
    <n v="7"/>
    <s v="WINTER15"/>
    <x v="2"/>
    <x v="488"/>
    <s v="WINTER15"/>
  </r>
  <r>
    <x v="490"/>
    <x v="319"/>
    <s v="C50097"/>
    <x v="3"/>
    <n v="5"/>
    <n v="467.81"/>
    <s v="539 Main St"/>
    <x v="1"/>
    <x v="1"/>
    <s v="TRK62785150"/>
    <n v="10"/>
    <m/>
    <x v="3"/>
    <x v="489"/>
    <s v="No Coupon"/>
  </r>
  <r>
    <x v="491"/>
    <x v="314"/>
    <s v="C98168"/>
    <x v="1"/>
    <n v="5"/>
    <n v="420.7"/>
    <s v="481 Main St"/>
    <x v="4"/>
    <x v="4"/>
    <s v="TRK56423359"/>
    <n v="5"/>
    <s v="WINTER15"/>
    <x v="3"/>
    <x v="490"/>
    <s v="WINTER15"/>
  </r>
  <r>
    <x v="492"/>
    <x v="385"/>
    <s v="C39074"/>
    <x v="5"/>
    <n v="5"/>
    <n v="606.52"/>
    <s v="103 Main St"/>
    <x v="0"/>
    <x v="0"/>
    <s v="TRK13027036"/>
    <n v="6"/>
    <s v="SAVE10"/>
    <x v="0"/>
    <x v="491"/>
    <s v="SAVE10"/>
  </r>
  <r>
    <x v="493"/>
    <x v="386"/>
    <s v="C84908"/>
    <x v="1"/>
    <n v="1"/>
    <n v="420.26"/>
    <s v="372 Main St"/>
    <x v="2"/>
    <x v="4"/>
    <s v="TRK64135970"/>
    <n v="4"/>
    <s v="FREESHIP"/>
    <x v="3"/>
    <x v="492"/>
    <s v="FREESHIP"/>
  </r>
  <r>
    <x v="494"/>
    <x v="45"/>
    <s v="C64516"/>
    <x v="5"/>
    <n v="3"/>
    <n v="505.79"/>
    <s v="459 Main St"/>
    <x v="0"/>
    <x v="4"/>
    <s v="TRK63920573"/>
    <n v="3"/>
    <s v="FREESHIP"/>
    <x v="1"/>
    <x v="493"/>
    <s v="FREESHIP"/>
  </r>
  <r>
    <x v="495"/>
    <x v="85"/>
    <s v="C63827"/>
    <x v="1"/>
    <n v="4"/>
    <n v="493.73"/>
    <s v="947 Main St"/>
    <x v="0"/>
    <x v="4"/>
    <s v="TRK35730581"/>
    <n v="6"/>
    <s v="SAVE10"/>
    <x v="3"/>
    <x v="494"/>
    <s v="SAVE10"/>
  </r>
  <r>
    <x v="496"/>
    <x v="387"/>
    <s v="C93618"/>
    <x v="4"/>
    <n v="3"/>
    <n v="201.21"/>
    <s v="249 Main St"/>
    <x v="1"/>
    <x v="1"/>
    <s v="TRK66129326"/>
    <n v="3"/>
    <s v="SAVE10"/>
    <x v="4"/>
    <x v="495"/>
    <s v="SAVE10"/>
  </r>
  <r>
    <x v="497"/>
    <x v="101"/>
    <s v="C93948"/>
    <x v="4"/>
    <n v="3"/>
    <n v="112.29"/>
    <s v="454 Main St"/>
    <x v="3"/>
    <x v="0"/>
    <s v="TRK77358113"/>
    <n v="6"/>
    <m/>
    <x v="4"/>
    <x v="496"/>
    <s v="No Coupon"/>
  </r>
  <r>
    <x v="498"/>
    <x v="219"/>
    <s v="C73961"/>
    <x v="2"/>
    <n v="4"/>
    <n v="132.56"/>
    <s v="306 Main St"/>
    <x v="4"/>
    <x v="2"/>
    <s v="TRK32607173"/>
    <n v="8"/>
    <s v="WINTER15"/>
    <x v="0"/>
    <x v="497"/>
    <s v="WINTER15"/>
  </r>
  <r>
    <x v="499"/>
    <x v="388"/>
    <s v="C18138"/>
    <x v="4"/>
    <n v="3"/>
    <n v="539.46"/>
    <s v="520 Main St"/>
    <x v="2"/>
    <x v="0"/>
    <s v="TRK20289483"/>
    <n v="4"/>
    <s v="SAVE10"/>
    <x v="3"/>
    <x v="498"/>
    <s v="SAVE10"/>
  </r>
  <r>
    <x v="500"/>
    <x v="158"/>
    <s v="C79475"/>
    <x v="5"/>
    <n v="5"/>
    <n v="508.59"/>
    <s v="169 Main St"/>
    <x v="4"/>
    <x v="2"/>
    <s v="TRK42168516"/>
    <n v="8"/>
    <s v="WINTER15"/>
    <x v="3"/>
    <x v="499"/>
    <s v="WINTER15"/>
  </r>
  <r>
    <x v="501"/>
    <x v="389"/>
    <s v="C88546"/>
    <x v="6"/>
    <n v="4"/>
    <n v="203.46"/>
    <s v="226 Main St"/>
    <x v="2"/>
    <x v="4"/>
    <s v="TRK19867754"/>
    <n v="7"/>
    <s v="SAVE10"/>
    <x v="1"/>
    <x v="500"/>
    <s v="SAVE10"/>
  </r>
  <r>
    <x v="502"/>
    <x v="390"/>
    <s v="C69332"/>
    <x v="0"/>
    <n v="3"/>
    <n v="565.25"/>
    <s v="745 Main St"/>
    <x v="0"/>
    <x v="2"/>
    <s v="TRK65718848"/>
    <n v="7"/>
    <s v="SAVE10"/>
    <x v="2"/>
    <x v="501"/>
    <s v="SAVE10"/>
  </r>
  <r>
    <x v="503"/>
    <x v="303"/>
    <s v="C64554"/>
    <x v="2"/>
    <n v="3"/>
    <n v="136.84"/>
    <s v="498 Main St"/>
    <x v="1"/>
    <x v="4"/>
    <s v="TRK95384568"/>
    <n v="4"/>
    <s v="FREESHIP"/>
    <x v="3"/>
    <x v="502"/>
    <s v="FREESHIP"/>
  </r>
  <r>
    <x v="504"/>
    <x v="113"/>
    <s v="C11676"/>
    <x v="0"/>
    <n v="2"/>
    <n v="464.5"/>
    <s v="805 Main St"/>
    <x v="1"/>
    <x v="1"/>
    <s v="TRK35726395"/>
    <n v="2"/>
    <s v="WINTER15"/>
    <x v="0"/>
    <x v="503"/>
    <s v="WINTER15"/>
  </r>
  <r>
    <x v="505"/>
    <x v="236"/>
    <s v="C36014"/>
    <x v="4"/>
    <n v="2"/>
    <n v="434.97"/>
    <s v="558 Main St"/>
    <x v="1"/>
    <x v="0"/>
    <s v="TRK97246526"/>
    <n v="7"/>
    <m/>
    <x v="2"/>
    <x v="504"/>
    <s v="No Coupon"/>
  </r>
  <r>
    <x v="506"/>
    <x v="284"/>
    <s v="C23279"/>
    <x v="0"/>
    <n v="2"/>
    <n v="43.67"/>
    <s v="696 Main St"/>
    <x v="4"/>
    <x v="2"/>
    <s v="TRK58039693"/>
    <n v="4"/>
    <s v="WINTER15"/>
    <x v="0"/>
    <x v="505"/>
    <s v="WINTER15"/>
  </r>
  <r>
    <x v="507"/>
    <x v="176"/>
    <s v="C86481"/>
    <x v="1"/>
    <n v="1"/>
    <n v="171.59"/>
    <s v="546 Main St"/>
    <x v="2"/>
    <x v="4"/>
    <s v="TRK87513944"/>
    <n v="5"/>
    <s v="WINTER15"/>
    <x v="2"/>
    <x v="506"/>
    <s v="WINTER15"/>
  </r>
  <r>
    <x v="508"/>
    <x v="391"/>
    <s v="C39550"/>
    <x v="1"/>
    <n v="1"/>
    <n v="558.27"/>
    <s v="976 Main St"/>
    <x v="1"/>
    <x v="3"/>
    <s v="TRK24120267"/>
    <n v="1"/>
    <m/>
    <x v="1"/>
    <x v="507"/>
    <s v="No Coupon"/>
  </r>
  <r>
    <x v="509"/>
    <x v="392"/>
    <s v="C68937"/>
    <x v="5"/>
    <n v="2"/>
    <n v="425.03"/>
    <s v="560 Main St"/>
    <x v="4"/>
    <x v="2"/>
    <s v="TRK31908657"/>
    <n v="2"/>
    <s v="WINTER15"/>
    <x v="4"/>
    <x v="508"/>
    <s v="WINTER15"/>
  </r>
  <r>
    <x v="510"/>
    <x v="393"/>
    <s v="C72533"/>
    <x v="4"/>
    <n v="1"/>
    <n v="376.76"/>
    <s v="389 Main St"/>
    <x v="0"/>
    <x v="3"/>
    <s v="TRK51288986"/>
    <n v="5"/>
    <s v="SAVE10"/>
    <x v="2"/>
    <x v="509"/>
    <s v="SAVE10"/>
  </r>
  <r>
    <x v="511"/>
    <x v="394"/>
    <s v="C11415"/>
    <x v="0"/>
    <n v="5"/>
    <n v="575.24"/>
    <s v="267 Main St"/>
    <x v="4"/>
    <x v="3"/>
    <s v="TRK65061457"/>
    <n v="7"/>
    <s v="WINTER15"/>
    <x v="2"/>
    <x v="510"/>
    <s v="WINTER15"/>
  </r>
  <r>
    <x v="512"/>
    <x v="395"/>
    <s v="C14114"/>
    <x v="6"/>
    <n v="3"/>
    <n v="568.02"/>
    <s v="856 Main St"/>
    <x v="1"/>
    <x v="4"/>
    <s v="TRK63290700"/>
    <n v="3"/>
    <s v="FREESHIP"/>
    <x v="0"/>
    <x v="511"/>
    <s v="FREESHIP"/>
  </r>
  <r>
    <x v="513"/>
    <x v="396"/>
    <s v="C64128"/>
    <x v="2"/>
    <n v="3"/>
    <n v="94.88"/>
    <s v="533 Main St"/>
    <x v="3"/>
    <x v="0"/>
    <s v="TRK37053575"/>
    <n v="8"/>
    <m/>
    <x v="1"/>
    <x v="512"/>
    <s v="No Coupon"/>
  </r>
  <r>
    <x v="514"/>
    <x v="397"/>
    <s v="C15629"/>
    <x v="4"/>
    <n v="3"/>
    <n v="304.14999999999998"/>
    <s v="492 Main St"/>
    <x v="3"/>
    <x v="0"/>
    <s v="TRK64926044"/>
    <n v="3"/>
    <s v="WINTER15"/>
    <x v="0"/>
    <x v="513"/>
    <s v="WINTER15"/>
  </r>
  <r>
    <x v="515"/>
    <x v="369"/>
    <s v="C67561"/>
    <x v="1"/>
    <n v="3"/>
    <n v="553.52"/>
    <s v="160 Main St"/>
    <x v="3"/>
    <x v="0"/>
    <s v="TRK75900717"/>
    <n v="4"/>
    <s v="FREESHIP"/>
    <x v="3"/>
    <x v="514"/>
    <s v="FREESHIP"/>
  </r>
  <r>
    <x v="516"/>
    <x v="158"/>
    <s v="C47022"/>
    <x v="0"/>
    <n v="3"/>
    <n v="166.99"/>
    <s v="208 Main St"/>
    <x v="4"/>
    <x v="2"/>
    <s v="TRK28855040"/>
    <n v="8"/>
    <m/>
    <x v="3"/>
    <x v="515"/>
    <s v="No Coupon"/>
  </r>
  <r>
    <x v="517"/>
    <x v="398"/>
    <s v="C55205"/>
    <x v="2"/>
    <n v="4"/>
    <n v="198.35"/>
    <s v="943 Main St"/>
    <x v="4"/>
    <x v="1"/>
    <s v="TRK88141634"/>
    <n v="7"/>
    <s v="FREESHIP"/>
    <x v="4"/>
    <x v="516"/>
    <s v="FREESHIP"/>
  </r>
  <r>
    <x v="518"/>
    <x v="399"/>
    <s v="C30686"/>
    <x v="4"/>
    <n v="4"/>
    <n v="403.58"/>
    <s v="319 Main St"/>
    <x v="1"/>
    <x v="4"/>
    <s v="TRK59807273"/>
    <n v="9"/>
    <s v="SAVE10"/>
    <x v="1"/>
    <x v="517"/>
    <s v="SAVE10"/>
  </r>
  <r>
    <x v="519"/>
    <x v="400"/>
    <s v="C71797"/>
    <x v="5"/>
    <n v="4"/>
    <n v="464.29"/>
    <s v="941 Main St"/>
    <x v="0"/>
    <x v="2"/>
    <s v="TRK66010667"/>
    <n v="5"/>
    <s v="SAVE10"/>
    <x v="2"/>
    <x v="518"/>
    <s v="SAVE10"/>
  </r>
  <r>
    <x v="520"/>
    <x v="401"/>
    <s v="C66332"/>
    <x v="0"/>
    <n v="3"/>
    <n v="635.98"/>
    <s v="959 Main St"/>
    <x v="4"/>
    <x v="2"/>
    <s v="TRK27063398"/>
    <n v="5"/>
    <m/>
    <x v="1"/>
    <x v="519"/>
    <s v="No Coupon"/>
  </r>
  <r>
    <x v="521"/>
    <x v="402"/>
    <s v="C82318"/>
    <x v="1"/>
    <n v="1"/>
    <n v="528.05999999999995"/>
    <s v="991 Main St"/>
    <x v="2"/>
    <x v="0"/>
    <s v="TRK37534165"/>
    <n v="2"/>
    <m/>
    <x v="3"/>
    <x v="520"/>
    <s v="No Coupon"/>
  </r>
  <r>
    <x v="522"/>
    <x v="322"/>
    <s v="C66254"/>
    <x v="3"/>
    <n v="1"/>
    <n v="515.32000000000005"/>
    <s v="740 Main St"/>
    <x v="3"/>
    <x v="1"/>
    <s v="TRK82843861"/>
    <n v="1"/>
    <s v="FREESHIP"/>
    <x v="2"/>
    <x v="521"/>
    <s v="FREESHIP"/>
  </r>
  <r>
    <x v="523"/>
    <x v="403"/>
    <s v="C65083"/>
    <x v="6"/>
    <n v="4"/>
    <n v="657.79"/>
    <s v="652 Main St"/>
    <x v="2"/>
    <x v="2"/>
    <s v="TRK60937148"/>
    <n v="6"/>
    <s v="WINTER15"/>
    <x v="4"/>
    <x v="522"/>
    <s v="WINTER15"/>
  </r>
  <r>
    <x v="524"/>
    <x v="385"/>
    <s v="C44778"/>
    <x v="1"/>
    <n v="1"/>
    <n v="153"/>
    <s v="103 Main St"/>
    <x v="2"/>
    <x v="2"/>
    <s v="TRK92617366"/>
    <n v="4"/>
    <m/>
    <x v="1"/>
    <x v="523"/>
    <s v="No Coupon"/>
  </r>
  <r>
    <x v="525"/>
    <x v="404"/>
    <s v="C54499"/>
    <x v="0"/>
    <n v="1"/>
    <n v="668.48"/>
    <s v="160 Main St"/>
    <x v="0"/>
    <x v="0"/>
    <s v="TRK18061555"/>
    <n v="1"/>
    <s v="SAVE10"/>
    <x v="2"/>
    <x v="524"/>
    <s v="SAVE10"/>
  </r>
  <r>
    <x v="526"/>
    <x v="405"/>
    <s v="C91201"/>
    <x v="6"/>
    <n v="2"/>
    <n v="46.5"/>
    <s v="837 Main St"/>
    <x v="4"/>
    <x v="2"/>
    <s v="TRK63526023"/>
    <n v="7"/>
    <s v="WINTER15"/>
    <x v="4"/>
    <x v="525"/>
    <s v="WINTER15"/>
  </r>
  <r>
    <x v="527"/>
    <x v="406"/>
    <s v="C27202"/>
    <x v="3"/>
    <n v="5"/>
    <n v="653.47"/>
    <s v="967 Main St"/>
    <x v="2"/>
    <x v="1"/>
    <s v="TRK75406128"/>
    <n v="10"/>
    <s v="SAVE10"/>
    <x v="1"/>
    <x v="526"/>
    <s v="SAVE10"/>
  </r>
  <r>
    <x v="528"/>
    <x v="407"/>
    <s v="C32011"/>
    <x v="3"/>
    <n v="1"/>
    <n v="628.89"/>
    <s v="686 Main St"/>
    <x v="2"/>
    <x v="2"/>
    <s v="TRK70997744"/>
    <n v="2"/>
    <s v="SAVE10"/>
    <x v="1"/>
    <x v="527"/>
    <s v="SAVE10"/>
  </r>
  <r>
    <x v="529"/>
    <x v="158"/>
    <s v="C21181"/>
    <x v="2"/>
    <n v="2"/>
    <n v="675.1"/>
    <s v="938 Main St"/>
    <x v="4"/>
    <x v="4"/>
    <s v="TRK50363421"/>
    <n v="4"/>
    <s v="FREESHIP"/>
    <x v="4"/>
    <x v="528"/>
    <s v="FREESHIP"/>
  </r>
  <r>
    <x v="530"/>
    <x v="408"/>
    <s v="C98450"/>
    <x v="3"/>
    <n v="4"/>
    <n v="89.41"/>
    <s v="613 Main St"/>
    <x v="1"/>
    <x v="4"/>
    <s v="TRK14809530"/>
    <n v="9"/>
    <m/>
    <x v="4"/>
    <x v="529"/>
    <s v="No Coupon"/>
  </r>
  <r>
    <x v="531"/>
    <x v="367"/>
    <s v="C64502"/>
    <x v="6"/>
    <n v="5"/>
    <n v="320.01"/>
    <s v="722 Main St"/>
    <x v="3"/>
    <x v="3"/>
    <s v="TRK14914388"/>
    <n v="6"/>
    <m/>
    <x v="1"/>
    <x v="530"/>
    <s v="No Coupon"/>
  </r>
  <r>
    <x v="532"/>
    <x v="120"/>
    <s v="C47365"/>
    <x v="5"/>
    <n v="2"/>
    <n v="41"/>
    <s v="369 Main St"/>
    <x v="1"/>
    <x v="3"/>
    <s v="TRK42207882"/>
    <n v="7"/>
    <m/>
    <x v="2"/>
    <x v="531"/>
    <s v="No Coupon"/>
  </r>
  <r>
    <x v="533"/>
    <x v="409"/>
    <s v="C66349"/>
    <x v="6"/>
    <n v="1"/>
    <n v="565.85"/>
    <s v="715 Main St"/>
    <x v="3"/>
    <x v="2"/>
    <s v="TRK63550793"/>
    <n v="1"/>
    <s v="FREESHIP"/>
    <x v="3"/>
    <x v="532"/>
    <s v="FREESHIP"/>
  </r>
  <r>
    <x v="534"/>
    <x v="309"/>
    <s v="C73289"/>
    <x v="3"/>
    <n v="3"/>
    <n v="648.59"/>
    <s v="906 Main St"/>
    <x v="0"/>
    <x v="1"/>
    <s v="TRK70872738"/>
    <n v="4"/>
    <s v="SAVE10"/>
    <x v="2"/>
    <x v="533"/>
    <s v="SAVE10"/>
  </r>
  <r>
    <x v="535"/>
    <x v="25"/>
    <s v="C48649"/>
    <x v="0"/>
    <n v="3"/>
    <n v="68.12"/>
    <s v="332 Main St"/>
    <x v="1"/>
    <x v="1"/>
    <s v="TRK45821445"/>
    <n v="3"/>
    <s v="FREESHIP"/>
    <x v="2"/>
    <x v="534"/>
    <s v="FREESHIP"/>
  </r>
  <r>
    <x v="536"/>
    <x v="410"/>
    <s v="C18724"/>
    <x v="3"/>
    <n v="1"/>
    <n v="616.1"/>
    <s v="124 Main St"/>
    <x v="4"/>
    <x v="2"/>
    <s v="TRK52508861"/>
    <n v="6"/>
    <m/>
    <x v="2"/>
    <x v="535"/>
    <s v="No Coupon"/>
  </r>
  <r>
    <x v="537"/>
    <x v="411"/>
    <s v="C68553"/>
    <x v="2"/>
    <n v="3"/>
    <n v="247.47"/>
    <s v="385 Main St"/>
    <x v="1"/>
    <x v="3"/>
    <s v="TRK58218971"/>
    <n v="4"/>
    <s v="SAVE10"/>
    <x v="3"/>
    <x v="536"/>
    <s v="SAVE10"/>
  </r>
  <r>
    <x v="538"/>
    <x v="75"/>
    <s v="C61280"/>
    <x v="1"/>
    <n v="3"/>
    <n v="490.74"/>
    <s v="100 Main St"/>
    <x v="4"/>
    <x v="0"/>
    <s v="TRK95487711"/>
    <n v="3"/>
    <s v="WINTER15"/>
    <x v="2"/>
    <x v="537"/>
    <s v="WINTER15"/>
  </r>
  <r>
    <x v="539"/>
    <x v="403"/>
    <s v="C53277"/>
    <x v="6"/>
    <n v="3"/>
    <n v="531.72"/>
    <s v="473 Main St"/>
    <x v="3"/>
    <x v="3"/>
    <s v="TRK17653832"/>
    <n v="7"/>
    <s v="SAVE10"/>
    <x v="4"/>
    <x v="538"/>
    <s v="SAVE10"/>
  </r>
  <r>
    <x v="540"/>
    <x v="412"/>
    <s v="C87281"/>
    <x v="5"/>
    <n v="5"/>
    <n v="648.65"/>
    <s v="852 Main St"/>
    <x v="1"/>
    <x v="4"/>
    <s v="TRK81765057"/>
    <n v="7"/>
    <m/>
    <x v="1"/>
    <x v="539"/>
    <s v="No Coupon"/>
  </r>
  <r>
    <x v="541"/>
    <x v="413"/>
    <s v="C69009"/>
    <x v="4"/>
    <n v="5"/>
    <n v="456.06"/>
    <s v="879 Main St"/>
    <x v="4"/>
    <x v="4"/>
    <s v="TRK61295842"/>
    <n v="10"/>
    <m/>
    <x v="0"/>
    <x v="540"/>
    <s v="No Coupon"/>
  </r>
  <r>
    <x v="542"/>
    <x v="414"/>
    <s v="C49726"/>
    <x v="2"/>
    <n v="1"/>
    <n v="17.98"/>
    <s v="934 Main St"/>
    <x v="4"/>
    <x v="1"/>
    <s v="TRK20739460"/>
    <n v="6"/>
    <s v="FREESHIP"/>
    <x v="2"/>
    <x v="541"/>
    <s v="FREESHIP"/>
  </r>
  <r>
    <x v="543"/>
    <x v="415"/>
    <s v="C37531"/>
    <x v="6"/>
    <n v="5"/>
    <n v="269.86"/>
    <s v="354 Main St"/>
    <x v="4"/>
    <x v="0"/>
    <s v="TRK93877673"/>
    <n v="6"/>
    <s v="WINTER15"/>
    <x v="3"/>
    <x v="542"/>
    <s v="WINTER15"/>
  </r>
  <r>
    <x v="544"/>
    <x v="416"/>
    <s v="C48713"/>
    <x v="4"/>
    <n v="5"/>
    <n v="31.96"/>
    <s v="373 Main St"/>
    <x v="2"/>
    <x v="2"/>
    <s v="TRK96334419"/>
    <n v="5"/>
    <s v="FREESHIP"/>
    <x v="1"/>
    <x v="543"/>
    <s v="FREESHIP"/>
  </r>
  <r>
    <x v="545"/>
    <x v="263"/>
    <s v="C74138"/>
    <x v="0"/>
    <n v="2"/>
    <n v="98.47"/>
    <s v="964 Main St"/>
    <x v="4"/>
    <x v="2"/>
    <s v="TRK74091695"/>
    <n v="3"/>
    <m/>
    <x v="0"/>
    <x v="544"/>
    <s v="No Coupon"/>
  </r>
  <r>
    <x v="546"/>
    <x v="417"/>
    <s v="C82399"/>
    <x v="0"/>
    <n v="1"/>
    <n v="158.68"/>
    <s v="928 Main St"/>
    <x v="2"/>
    <x v="2"/>
    <s v="TRK77177284"/>
    <n v="6"/>
    <s v="WINTER15"/>
    <x v="0"/>
    <x v="545"/>
    <s v="WINTER15"/>
  </r>
  <r>
    <x v="547"/>
    <x v="38"/>
    <s v="C40427"/>
    <x v="1"/>
    <n v="1"/>
    <n v="613.98"/>
    <s v="411 Main St"/>
    <x v="1"/>
    <x v="3"/>
    <s v="TRK25392280"/>
    <n v="4"/>
    <s v="FREESHIP"/>
    <x v="3"/>
    <x v="546"/>
    <s v="FREESHIP"/>
  </r>
  <r>
    <x v="548"/>
    <x v="80"/>
    <s v="C17103"/>
    <x v="4"/>
    <n v="3"/>
    <n v="426.12"/>
    <s v="922 Main St"/>
    <x v="1"/>
    <x v="3"/>
    <s v="TRK64398650"/>
    <n v="5"/>
    <s v="WINTER15"/>
    <x v="0"/>
    <x v="547"/>
    <s v="WINTER15"/>
  </r>
  <r>
    <x v="549"/>
    <x v="86"/>
    <s v="C34266"/>
    <x v="0"/>
    <n v="4"/>
    <n v="629.88"/>
    <s v="550 Main St"/>
    <x v="0"/>
    <x v="1"/>
    <s v="TRK56378197"/>
    <n v="8"/>
    <s v="WINTER15"/>
    <x v="0"/>
    <x v="548"/>
    <s v="WINTER15"/>
  </r>
  <r>
    <x v="550"/>
    <x v="418"/>
    <s v="C97485"/>
    <x v="5"/>
    <n v="4"/>
    <n v="228.91"/>
    <s v="573 Main St"/>
    <x v="4"/>
    <x v="0"/>
    <s v="TRK81794737"/>
    <n v="4"/>
    <s v="FREESHIP"/>
    <x v="4"/>
    <x v="549"/>
    <s v="FREESHIP"/>
  </r>
  <r>
    <x v="551"/>
    <x v="419"/>
    <s v="C23947"/>
    <x v="5"/>
    <n v="1"/>
    <n v="120.98"/>
    <s v="353 Main St"/>
    <x v="0"/>
    <x v="3"/>
    <s v="TRK74812710"/>
    <n v="6"/>
    <s v="WINTER15"/>
    <x v="2"/>
    <x v="550"/>
    <s v="WINTER15"/>
  </r>
  <r>
    <x v="552"/>
    <x v="420"/>
    <s v="C21665"/>
    <x v="3"/>
    <n v="4"/>
    <n v="425.18"/>
    <s v="560 Main St"/>
    <x v="1"/>
    <x v="2"/>
    <s v="TRK29890761"/>
    <n v="8"/>
    <s v="WINTER15"/>
    <x v="3"/>
    <x v="551"/>
    <s v="WINTER15"/>
  </r>
  <r>
    <x v="553"/>
    <x v="421"/>
    <s v="C82550"/>
    <x v="1"/>
    <n v="2"/>
    <n v="333.83"/>
    <s v="828 Main St"/>
    <x v="3"/>
    <x v="1"/>
    <s v="TRK74103758"/>
    <n v="4"/>
    <s v="FREESHIP"/>
    <x v="1"/>
    <x v="552"/>
    <s v="FREESHIP"/>
  </r>
  <r>
    <x v="554"/>
    <x v="422"/>
    <s v="C61943"/>
    <x v="5"/>
    <n v="2"/>
    <n v="492.9"/>
    <s v="610 Main St"/>
    <x v="4"/>
    <x v="2"/>
    <s v="TRK66126496"/>
    <n v="5"/>
    <s v="FREESHIP"/>
    <x v="0"/>
    <x v="553"/>
    <s v="FREESHIP"/>
  </r>
  <r>
    <x v="555"/>
    <x v="33"/>
    <s v="C88933"/>
    <x v="2"/>
    <n v="1"/>
    <n v="92.04"/>
    <s v="333 Main St"/>
    <x v="4"/>
    <x v="0"/>
    <s v="TRK89306964"/>
    <n v="2"/>
    <m/>
    <x v="3"/>
    <x v="554"/>
    <s v="No Coupon"/>
  </r>
  <r>
    <x v="556"/>
    <x v="423"/>
    <s v="C30923"/>
    <x v="5"/>
    <n v="1"/>
    <n v="654.27"/>
    <s v="932 Main St"/>
    <x v="3"/>
    <x v="4"/>
    <s v="TRK82609328"/>
    <n v="2"/>
    <s v="SAVE10"/>
    <x v="3"/>
    <x v="555"/>
    <s v="SAVE10"/>
  </r>
  <r>
    <x v="557"/>
    <x v="282"/>
    <s v="C56969"/>
    <x v="2"/>
    <n v="1"/>
    <n v="56.2"/>
    <s v="130 Main St"/>
    <x v="0"/>
    <x v="4"/>
    <s v="TRK40719215"/>
    <n v="1"/>
    <s v="WINTER15"/>
    <x v="3"/>
    <x v="556"/>
    <s v="WINTER15"/>
  </r>
  <r>
    <x v="558"/>
    <x v="424"/>
    <s v="C76766"/>
    <x v="1"/>
    <n v="4"/>
    <n v="628.12"/>
    <s v="485 Main St"/>
    <x v="1"/>
    <x v="3"/>
    <s v="TRK32052962"/>
    <n v="6"/>
    <s v="WINTER15"/>
    <x v="0"/>
    <x v="557"/>
    <s v="WINTER15"/>
  </r>
  <r>
    <x v="559"/>
    <x v="116"/>
    <s v="C22981"/>
    <x v="6"/>
    <n v="3"/>
    <n v="157.4"/>
    <s v="454 Main St"/>
    <x v="0"/>
    <x v="1"/>
    <s v="TRK10115285"/>
    <n v="7"/>
    <s v="WINTER15"/>
    <x v="2"/>
    <x v="558"/>
    <s v="WINTER15"/>
  </r>
  <r>
    <x v="560"/>
    <x v="425"/>
    <s v="C33634"/>
    <x v="0"/>
    <n v="4"/>
    <n v="588.85"/>
    <s v="524 Main St"/>
    <x v="3"/>
    <x v="4"/>
    <s v="TRK93168008"/>
    <n v="7"/>
    <m/>
    <x v="2"/>
    <x v="559"/>
    <s v="No Coupon"/>
  </r>
  <r>
    <x v="561"/>
    <x v="425"/>
    <s v="C96822"/>
    <x v="4"/>
    <n v="2"/>
    <n v="494.78"/>
    <s v="198 Main St"/>
    <x v="1"/>
    <x v="0"/>
    <s v="TRK89180077"/>
    <n v="2"/>
    <m/>
    <x v="4"/>
    <x v="560"/>
    <s v="No Coupon"/>
  </r>
  <r>
    <x v="562"/>
    <x v="426"/>
    <s v="C76675"/>
    <x v="5"/>
    <n v="3"/>
    <n v="663.93"/>
    <s v="922 Main St"/>
    <x v="3"/>
    <x v="2"/>
    <s v="TRK28043915"/>
    <n v="6"/>
    <s v="FREESHIP"/>
    <x v="2"/>
    <x v="561"/>
    <s v="FREESHIP"/>
  </r>
  <r>
    <x v="563"/>
    <x v="427"/>
    <s v="C12039"/>
    <x v="5"/>
    <n v="1"/>
    <n v="132.68"/>
    <s v="844 Main St"/>
    <x v="0"/>
    <x v="2"/>
    <s v="TRK68645763"/>
    <n v="1"/>
    <s v="SAVE10"/>
    <x v="1"/>
    <x v="562"/>
    <s v="SAVE10"/>
  </r>
  <r>
    <x v="564"/>
    <x v="428"/>
    <s v="C93309"/>
    <x v="6"/>
    <n v="5"/>
    <n v="364.28"/>
    <s v="734 Main St"/>
    <x v="2"/>
    <x v="1"/>
    <s v="TRK99446987"/>
    <n v="5"/>
    <s v="WINTER15"/>
    <x v="4"/>
    <x v="563"/>
    <s v="WINTER15"/>
  </r>
  <r>
    <x v="565"/>
    <x v="429"/>
    <s v="C62042"/>
    <x v="2"/>
    <n v="5"/>
    <n v="307.98"/>
    <s v="214 Main St"/>
    <x v="1"/>
    <x v="4"/>
    <s v="TRK42605492"/>
    <n v="10"/>
    <m/>
    <x v="3"/>
    <x v="564"/>
    <s v="No Coupon"/>
  </r>
  <r>
    <x v="566"/>
    <x v="171"/>
    <s v="C83223"/>
    <x v="1"/>
    <n v="4"/>
    <n v="162.71"/>
    <s v="167 Main St"/>
    <x v="4"/>
    <x v="1"/>
    <s v="TRK54339083"/>
    <n v="7"/>
    <s v="FREESHIP"/>
    <x v="2"/>
    <x v="565"/>
    <s v="FREESHIP"/>
  </r>
  <r>
    <x v="567"/>
    <x v="430"/>
    <s v="C92575"/>
    <x v="3"/>
    <n v="5"/>
    <n v="492.94"/>
    <s v="153 Main St"/>
    <x v="4"/>
    <x v="0"/>
    <s v="TRK53579227"/>
    <n v="10"/>
    <s v="FREESHIP"/>
    <x v="2"/>
    <x v="566"/>
    <s v="FREESHIP"/>
  </r>
  <r>
    <x v="568"/>
    <x v="401"/>
    <s v="C29072"/>
    <x v="5"/>
    <n v="2"/>
    <n v="343.99"/>
    <s v="312 Main St"/>
    <x v="1"/>
    <x v="3"/>
    <s v="TRK72334047"/>
    <n v="4"/>
    <m/>
    <x v="4"/>
    <x v="567"/>
    <s v="No Coupon"/>
  </r>
  <r>
    <x v="569"/>
    <x v="29"/>
    <s v="C25783"/>
    <x v="6"/>
    <n v="5"/>
    <n v="250.68"/>
    <s v="672 Main St"/>
    <x v="4"/>
    <x v="0"/>
    <s v="TRK13289741"/>
    <n v="8"/>
    <s v="SAVE10"/>
    <x v="0"/>
    <x v="568"/>
    <s v="SAVE10"/>
  </r>
  <r>
    <x v="570"/>
    <x v="431"/>
    <s v="C63727"/>
    <x v="6"/>
    <n v="2"/>
    <n v="362.14"/>
    <s v="122 Main St"/>
    <x v="0"/>
    <x v="4"/>
    <s v="TRK13611021"/>
    <n v="2"/>
    <s v="SAVE10"/>
    <x v="0"/>
    <x v="569"/>
    <s v="SAVE10"/>
  </r>
  <r>
    <x v="571"/>
    <x v="432"/>
    <s v="C42365"/>
    <x v="2"/>
    <n v="1"/>
    <n v="214.08"/>
    <s v="867 Main St"/>
    <x v="3"/>
    <x v="2"/>
    <s v="TRK39563288"/>
    <n v="2"/>
    <s v="WINTER15"/>
    <x v="4"/>
    <x v="570"/>
    <s v="WINTER15"/>
  </r>
  <r>
    <x v="572"/>
    <x v="433"/>
    <s v="C27438"/>
    <x v="4"/>
    <n v="1"/>
    <n v="70.319999999999993"/>
    <s v="341 Main St"/>
    <x v="4"/>
    <x v="2"/>
    <s v="TRK69125497"/>
    <n v="4"/>
    <s v="WINTER15"/>
    <x v="3"/>
    <x v="571"/>
    <s v="WINTER15"/>
  </r>
  <r>
    <x v="573"/>
    <x v="261"/>
    <s v="C13205"/>
    <x v="3"/>
    <n v="5"/>
    <n v="421.42"/>
    <s v="522 Main St"/>
    <x v="0"/>
    <x v="1"/>
    <s v="TRK30686578"/>
    <n v="7"/>
    <m/>
    <x v="0"/>
    <x v="572"/>
    <s v="No Coupon"/>
  </r>
  <r>
    <x v="574"/>
    <x v="434"/>
    <s v="C29685"/>
    <x v="3"/>
    <n v="5"/>
    <n v="384.69"/>
    <s v="275 Main St"/>
    <x v="2"/>
    <x v="4"/>
    <s v="TRK97733212"/>
    <n v="6"/>
    <s v="FREESHIP"/>
    <x v="2"/>
    <x v="573"/>
    <s v="FREESHIP"/>
  </r>
  <r>
    <x v="575"/>
    <x v="323"/>
    <s v="C74005"/>
    <x v="3"/>
    <n v="5"/>
    <n v="448.15"/>
    <s v="528 Main St"/>
    <x v="3"/>
    <x v="2"/>
    <s v="TRK61640534"/>
    <n v="7"/>
    <s v="SAVE10"/>
    <x v="4"/>
    <x v="574"/>
    <s v="SAVE10"/>
  </r>
  <r>
    <x v="576"/>
    <x v="382"/>
    <s v="C14457"/>
    <x v="5"/>
    <n v="5"/>
    <n v="79.08"/>
    <s v="747 Main St"/>
    <x v="4"/>
    <x v="4"/>
    <s v="TRK42517811"/>
    <n v="8"/>
    <m/>
    <x v="3"/>
    <x v="575"/>
    <s v="No Coupon"/>
  </r>
  <r>
    <x v="577"/>
    <x v="55"/>
    <s v="C77046"/>
    <x v="2"/>
    <n v="4"/>
    <n v="185.41"/>
    <s v="967 Main St"/>
    <x v="1"/>
    <x v="2"/>
    <s v="TRK44401497"/>
    <n v="9"/>
    <s v="WINTER15"/>
    <x v="4"/>
    <x v="576"/>
    <s v="WINTER15"/>
  </r>
  <r>
    <x v="578"/>
    <x v="84"/>
    <s v="C50415"/>
    <x v="0"/>
    <n v="5"/>
    <n v="566.07000000000005"/>
    <s v="587 Main St"/>
    <x v="2"/>
    <x v="3"/>
    <s v="TRK41345634"/>
    <n v="6"/>
    <s v="SAVE10"/>
    <x v="0"/>
    <x v="577"/>
    <s v="SAVE10"/>
  </r>
  <r>
    <x v="579"/>
    <x v="243"/>
    <s v="C73999"/>
    <x v="2"/>
    <n v="2"/>
    <n v="187.88"/>
    <s v="413 Main St"/>
    <x v="1"/>
    <x v="0"/>
    <s v="TRK67919507"/>
    <n v="4"/>
    <s v="WINTER15"/>
    <x v="3"/>
    <x v="578"/>
    <s v="WINTER15"/>
  </r>
  <r>
    <x v="580"/>
    <x v="414"/>
    <s v="C71076"/>
    <x v="0"/>
    <n v="2"/>
    <n v="255.99"/>
    <s v="340 Main St"/>
    <x v="2"/>
    <x v="3"/>
    <s v="TRK65148292"/>
    <n v="4"/>
    <s v="SAVE10"/>
    <x v="0"/>
    <x v="579"/>
    <s v="SAVE10"/>
  </r>
  <r>
    <x v="581"/>
    <x v="435"/>
    <s v="C44674"/>
    <x v="5"/>
    <n v="1"/>
    <n v="627.34"/>
    <s v="942 Main St"/>
    <x v="1"/>
    <x v="3"/>
    <s v="TRK87158684"/>
    <n v="1"/>
    <m/>
    <x v="1"/>
    <x v="580"/>
    <s v="No Coupon"/>
  </r>
  <r>
    <x v="582"/>
    <x v="436"/>
    <s v="C15228"/>
    <x v="2"/>
    <n v="3"/>
    <n v="474.14"/>
    <s v="558 Main St"/>
    <x v="3"/>
    <x v="0"/>
    <s v="TRK33860620"/>
    <n v="8"/>
    <s v="WINTER15"/>
    <x v="4"/>
    <x v="581"/>
    <s v="WINTER15"/>
  </r>
  <r>
    <x v="583"/>
    <x v="437"/>
    <s v="C27072"/>
    <x v="3"/>
    <n v="3"/>
    <n v="154.37"/>
    <s v="996 Main St"/>
    <x v="3"/>
    <x v="3"/>
    <s v="TRK29750379"/>
    <n v="4"/>
    <m/>
    <x v="0"/>
    <x v="582"/>
    <s v="No Coupon"/>
  </r>
  <r>
    <x v="584"/>
    <x v="438"/>
    <s v="C15257"/>
    <x v="3"/>
    <n v="4"/>
    <n v="145.05000000000001"/>
    <s v="626 Main St"/>
    <x v="1"/>
    <x v="3"/>
    <s v="TRK28779938"/>
    <n v="6"/>
    <s v="SAVE10"/>
    <x v="4"/>
    <x v="583"/>
    <s v="SAVE10"/>
  </r>
  <r>
    <x v="585"/>
    <x v="38"/>
    <s v="C91486"/>
    <x v="2"/>
    <n v="4"/>
    <n v="67.08"/>
    <s v="907 Main St"/>
    <x v="4"/>
    <x v="2"/>
    <s v="TRK79617136"/>
    <n v="8"/>
    <s v="WINTER15"/>
    <x v="4"/>
    <x v="584"/>
    <s v="WINTER15"/>
  </r>
  <r>
    <x v="586"/>
    <x v="337"/>
    <s v="C17389"/>
    <x v="0"/>
    <n v="1"/>
    <n v="522.08000000000004"/>
    <s v="905 Main St"/>
    <x v="3"/>
    <x v="2"/>
    <s v="TRK98857880"/>
    <n v="5"/>
    <s v="FREESHIP"/>
    <x v="1"/>
    <x v="585"/>
    <s v="FREESHIP"/>
  </r>
  <r>
    <x v="587"/>
    <x v="439"/>
    <s v="C18820"/>
    <x v="0"/>
    <n v="5"/>
    <n v="514.6"/>
    <s v="347 Main St"/>
    <x v="3"/>
    <x v="3"/>
    <s v="TRK91547425"/>
    <n v="10"/>
    <s v="FREESHIP"/>
    <x v="0"/>
    <x v="586"/>
    <s v="FREESHIP"/>
  </r>
  <r>
    <x v="588"/>
    <x v="440"/>
    <s v="C61849"/>
    <x v="0"/>
    <n v="4"/>
    <n v="577.82000000000005"/>
    <s v="811 Main St"/>
    <x v="2"/>
    <x v="3"/>
    <s v="TRK47613918"/>
    <n v="9"/>
    <m/>
    <x v="4"/>
    <x v="587"/>
    <s v="No Coupon"/>
  </r>
  <r>
    <x v="589"/>
    <x v="441"/>
    <s v="C84041"/>
    <x v="5"/>
    <n v="2"/>
    <n v="500.8"/>
    <s v="900 Main St"/>
    <x v="4"/>
    <x v="3"/>
    <s v="TRK84920444"/>
    <n v="3"/>
    <s v="FREESHIP"/>
    <x v="1"/>
    <x v="588"/>
    <s v="FREESHIP"/>
  </r>
  <r>
    <x v="590"/>
    <x v="442"/>
    <s v="C55757"/>
    <x v="4"/>
    <n v="2"/>
    <n v="461.13"/>
    <s v="175 Main St"/>
    <x v="3"/>
    <x v="2"/>
    <s v="TRK27356242"/>
    <n v="4"/>
    <m/>
    <x v="2"/>
    <x v="589"/>
    <s v="No Coupon"/>
  </r>
  <r>
    <x v="591"/>
    <x v="249"/>
    <s v="C18187"/>
    <x v="5"/>
    <n v="1"/>
    <n v="605.28"/>
    <s v="470 Main St"/>
    <x v="3"/>
    <x v="0"/>
    <s v="TRK50528185"/>
    <n v="3"/>
    <s v="FREESHIP"/>
    <x v="1"/>
    <x v="590"/>
    <s v="FREESHIP"/>
  </r>
  <r>
    <x v="592"/>
    <x v="234"/>
    <s v="C42306"/>
    <x v="1"/>
    <n v="3"/>
    <n v="204.27"/>
    <s v="938 Main St"/>
    <x v="1"/>
    <x v="2"/>
    <s v="TRK15499648"/>
    <n v="4"/>
    <m/>
    <x v="4"/>
    <x v="591"/>
    <s v="No Coupon"/>
  </r>
  <r>
    <x v="593"/>
    <x v="443"/>
    <s v="C51024"/>
    <x v="0"/>
    <n v="1"/>
    <n v="489.8"/>
    <s v="636 Main St"/>
    <x v="3"/>
    <x v="0"/>
    <s v="TRK31375086"/>
    <n v="4"/>
    <s v="FREESHIP"/>
    <x v="3"/>
    <x v="592"/>
    <s v="FREESHIP"/>
  </r>
  <r>
    <x v="594"/>
    <x v="444"/>
    <s v="C40140"/>
    <x v="1"/>
    <n v="5"/>
    <n v="72.64"/>
    <s v="598 Main St"/>
    <x v="2"/>
    <x v="1"/>
    <s v="TRK12671989"/>
    <n v="7"/>
    <m/>
    <x v="2"/>
    <x v="593"/>
    <s v="No Coupon"/>
  </r>
  <r>
    <x v="595"/>
    <x v="445"/>
    <s v="C72596"/>
    <x v="4"/>
    <n v="2"/>
    <n v="385.16"/>
    <s v="491 Main St"/>
    <x v="1"/>
    <x v="4"/>
    <s v="TRK83870446"/>
    <n v="7"/>
    <s v="SAVE10"/>
    <x v="2"/>
    <x v="594"/>
    <s v="SAVE10"/>
  </r>
  <r>
    <x v="596"/>
    <x v="439"/>
    <s v="C91805"/>
    <x v="6"/>
    <n v="3"/>
    <n v="606.41"/>
    <s v="653 Main St"/>
    <x v="0"/>
    <x v="2"/>
    <s v="TRK34504030"/>
    <n v="7"/>
    <s v="FREESHIP"/>
    <x v="3"/>
    <x v="595"/>
    <s v="FREESHIP"/>
  </r>
  <r>
    <x v="597"/>
    <x v="446"/>
    <s v="C40538"/>
    <x v="6"/>
    <n v="2"/>
    <n v="211.82"/>
    <s v="700 Main St"/>
    <x v="3"/>
    <x v="1"/>
    <s v="TRK29821356"/>
    <n v="4"/>
    <s v="WINTER15"/>
    <x v="2"/>
    <x v="596"/>
    <s v="WINTER15"/>
  </r>
  <r>
    <x v="598"/>
    <x v="447"/>
    <s v="C60329"/>
    <x v="6"/>
    <n v="5"/>
    <n v="495.35"/>
    <s v="826 Main St"/>
    <x v="2"/>
    <x v="4"/>
    <s v="TRK59069987"/>
    <n v="5"/>
    <m/>
    <x v="3"/>
    <x v="597"/>
    <s v="No Coupon"/>
  </r>
  <r>
    <x v="599"/>
    <x v="30"/>
    <s v="C28740"/>
    <x v="3"/>
    <n v="3"/>
    <n v="556.99"/>
    <s v="123 Main St"/>
    <x v="1"/>
    <x v="1"/>
    <s v="TRK33642221"/>
    <n v="4"/>
    <s v="FREESHIP"/>
    <x v="3"/>
    <x v="598"/>
    <s v="FREESHIP"/>
  </r>
  <r>
    <x v="600"/>
    <x v="68"/>
    <s v="C87051"/>
    <x v="4"/>
    <n v="1"/>
    <n v="72.31"/>
    <s v="460 Main St"/>
    <x v="3"/>
    <x v="1"/>
    <s v="TRK82056333"/>
    <n v="1"/>
    <s v="FREESHIP"/>
    <x v="3"/>
    <x v="599"/>
    <s v="FREESHIP"/>
  </r>
  <r>
    <x v="601"/>
    <x v="276"/>
    <s v="C12479"/>
    <x v="0"/>
    <n v="5"/>
    <n v="24.82"/>
    <s v="529 Main St"/>
    <x v="2"/>
    <x v="0"/>
    <s v="TRK73935314"/>
    <n v="10"/>
    <m/>
    <x v="1"/>
    <x v="600"/>
    <s v="No Coupon"/>
  </r>
  <r>
    <x v="602"/>
    <x v="448"/>
    <s v="C35852"/>
    <x v="2"/>
    <n v="4"/>
    <n v="26.04"/>
    <s v="982 Main St"/>
    <x v="1"/>
    <x v="4"/>
    <s v="TRK64660134"/>
    <n v="5"/>
    <s v="SAVE10"/>
    <x v="0"/>
    <x v="601"/>
    <s v="SAVE10"/>
  </r>
  <r>
    <x v="603"/>
    <x v="449"/>
    <s v="C26223"/>
    <x v="2"/>
    <n v="1"/>
    <n v="657.07"/>
    <s v="800 Main St"/>
    <x v="4"/>
    <x v="4"/>
    <s v="TRK50900547"/>
    <n v="4"/>
    <s v="SAVE10"/>
    <x v="4"/>
    <x v="602"/>
    <s v="SAVE10"/>
  </r>
  <r>
    <x v="604"/>
    <x v="450"/>
    <s v="C99214"/>
    <x v="3"/>
    <n v="3"/>
    <n v="32.619999999999997"/>
    <s v="252 Main St"/>
    <x v="0"/>
    <x v="3"/>
    <s v="TRK81368481"/>
    <n v="6"/>
    <m/>
    <x v="3"/>
    <x v="603"/>
    <s v="No Coupon"/>
  </r>
  <r>
    <x v="605"/>
    <x v="451"/>
    <s v="C49605"/>
    <x v="0"/>
    <n v="2"/>
    <n v="228.91"/>
    <s v="892 Main St"/>
    <x v="0"/>
    <x v="0"/>
    <s v="TRK95620066"/>
    <n v="4"/>
    <s v="SAVE10"/>
    <x v="1"/>
    <x v="604"/>
    <s v="SAVE10"/>
  </r>
  <r>
    <x v="606"/>
    <x v="119"/>
    <s v="C85018"/>
    <x v="5"/>
    <n v="3"/>
    <n v="274.75"/>
    <s v="783 Main St"/>
    <x v="4"/>
    <x v="1"/>
    <s v="TRK54128886"/>
    <n v="3"/>
    <s v="SAVE10"/>
    <x v="4"/>
    <x v="605"/>
    <s v="SAVE10"/>
  </r>
  <r>
    <x v="607"/>
    <x v="133"/>
    <s v="C96434"/>
    <x v="4"/>
    <n v="4"/>
    <n v="634.04999999999995"/>
    <s v="282 Main St"/>
    <x v="4"/>
    <x v="0"/>
    <s v="TRK56730647"/>
    <n v="6"/>
    <s v="SAVE10"/>
    <x v="4"/>
    <x v="606"/>
    <s v="SAVE10"/>
  </r>
  <r>
    <x v="608"/>
    <x v="25"/>
    <s v="C32956"/>
    <x v="5"/>
    <n v="5"/>
    <n v="543.16"/>
    <s v="788 Main St"/>
    <x v="1"/>
    <x v="1"/>
    <s v="TRK73140103"/>
    <n v="6"/>
    <s v="SAVE10"/>
    <x v="0"/>
    <x v="607"/>
    <s v="SAVE10"/>
  </r>
  <r>
    <x v="609"/>
    <x v="109"/>
    <s v="C41137"/>
    <x v="3"/>
    <n v="3"/>
    <n v="449.13"/>
    <s v="809 Main St"/>
    <x v="4"/>
    <x v="2"/>
    <s v="TRK52732162"/>
    <n v="5"/>
    <s v="WINTER15"/>
    <x v="1"/>
    <x v="608"/>
    <s v="WINTER15"/>
  </r>
  <r>
    <x v="610"/>
    <x v="452"/>
    <s v="C60361"/>
    <x v="6"/>
    <n v="5"/>
    <n v="389.62"/>
    <s v="623 Main St"/>
    <x v="4"/>
    <x v="2"/>
    <s v="TRK83566924"/>
    <n v="7"/>
    <s v="FREESHIP"/>
    <x v="3"/>
    <x v="609"/>
    <s v="FREESHIP"/>
  </r>
  <r>
    <x v="611"/>
    <x v="453"/>
    <s v="C36688"/>
    <x v="6"/>
    <n v="1"/>
    <n v="305.17"/>
    <s v="700 Main St"/>
    <x v="3"/>
    <x v="2"/>
    <s v="TRK35720426"/>
    <n v="3"/>
    <s v="WINTER15"/>
    <x v="1"/>
    <x v="610"/>
    <s v="WINTER15"/>
  </r>
  <r>
    <x v="612"/>
    <x v="454"/>
    <s v="C51811"/>
    <x v="3"/>
    <n v="3"/>
    <n v="445.12"/>
    <s v="339 Main St"/>
    <x v="3"/>
    <x v="1"/>
    <s v="TRK82377939"/>
    <n v="8"/>
    <m/>
    <x v="4"/>
    <x v="611"/>
    <s v="No Coupon"/>
  </r>
  <r>
    <x v="613"/>
    <x v="36"/>
    <s v="C62405"/>
    <x v="5"/>
    <n v="2"/>
    <n v="230.36"/>
    <s v="154 Main St"/>
    <x v="1"/>
    <x v="2"/>
    <s v="TRK14721763"/>
    <n v="4"/>
    <s v="WINTER15"/>
    <x v="2"/>
    <x v="612"/>
    <s v="WINTER15"/>
  </r>
  <r>
    <x v="614"/>
    <x v="455"/>
    <s v="C77363"/>
    <x v="1"/>
    <n v="1"/>
    <n v="96.81"/>
    <s v="807 Main St"/>
    <x v="3"/>
    <x v="1"/>
    <s v="TRK12439827"/>
    <n v="3"/>
    <m/>
    <x v="1"/>
    <x v="613"/>
    <s v="No Coupon"/>
  </r>
  <r>
    <x v="615"/>
    <x v="456"/>
    <s v="C97218"/>
    <x v="0"/>
    <n v="5"/>
    <n v="460.14"/>
    <s v="252 Main St"/>
    <x v="2"/>
    <x v="2"/>
    <s v="TRK52632065"/>
    <n v="10"/>
    <s v="WINTER15"/>
    <x v="3"/>
    <x v="614"/>
    <s v="WINTER15"/>
  </r>
  <r>
    <x v="616"/>
    <x v="457"/>
    <s v="C43919"/>
    <x v="2"/>
    <n v="3"/>
    <n v="601.6"/>
    <s v="984 Main St"/>
    <x v="2"/>
    <x v="1"/>
    <s v="TRK73113192"/>
    <n v="7"/>
    <s v="SAVE10"/>
    <x v="3"/>
    <x v="615"/>
    <s v="SAVE10"/>
  </r>
  <r>
    <x v="617"/>
    <x v="458"/>
    <s v="C57093"/>
    <x v="2"/>
    <n v="3"/>
    <n v="184.47"/>
    <s v="834 Main St"/>
    <x v="1"/>
    <x v="1"/>
    <s v="TRK75469057"/>
    <n v="4"/>
    <m/>
    <x v="1"/>
    <x v="616"/>
    <s v="No Coupon"/>
  </r>
  <r>
    <x v="618"/>
    <x v="459"/>
    <s v="C50565"/>
    <x v="2"/>
    <n v="1"/>
    <n v="411.34"/>
    <s v="399 Main St"/>
    <x v="0"/>
    <x v="2"/>
    <s v="TRK97981418"/>
    <n v="5"/>
    <m/>
    <x v="0"/>
    <x v="617"/>
    <s v="No Coupon"/>
  </r>
  <r>
    <x v="619"/>
    <x v="424"/>
    <s v="C38845"/>
    <x v="5"/>
    <n v="1"/>
    <n v="532.89"/>
    <s v="764 Main St"/>
    <x v="3"/>
    <x v="4"/>
    <s v="TRK47637374"/>
    <n v="2"/>
    <m/>
    <x v="1"/>
    <x v="618"/>
    <s v="No Coupon"/>
  </r>
  <r>
    <x v="620"/>
    <x v="460"/>
    <s v="C84834"/>
    <x v="2"/>
    <n v="3"/>
    <n v="136.34"/>
    <s v="866 Main St"/>
    <x v="0"/>
    <x v="2"/>
    <s v="TRK90136001"/>
    <n v="8"/>
    <s v="SAVE10"/>
    <x v="1"/>
    <x v="619"/>
    <s v="SAVE10"/>
  </r>
  <r>
    <x v="621"/>
    <x v="356"/>
    <s v="C37455"/>
    <x v="1"/>
    <n v="5"/>
    <n v="476.01"/>
    <s v="146 Main St"/>
    <x v="2"/>
    <x v="3"/>
    <s v="TRK82685594"/>
    <n v="7"/>
    <s v="WINTER15"/>
    <x v="4"/>
    <x v="620"/>
    <s v="WINTER15"/>
  </r>
  <r>
    <x v="622"/>
    <x v="461"/>
    <s v="C27078"/>
    <x v="6"/>
    <n v="5"/>
    <n v="236.38"/>
    <s v="128 Main St"/>
    <x v="2"/>
    <x v="2"/>
    <s v="TRK89314307"/>
    <n v="7"/>
    <m/>
    <x v="3"/>
    <x v="621"/>
    <s v="No Coupon"/>
  </r>
  <r>
    <x v="623"/>
    <x v="379"/>
    <s v="C91941"/>
    <x v="4"/>
    <n v="3"/>
    <n v="396"/>
    <s v="269 Main St"/>
    <x v="3"/>
    <x v="1"/>
    <s v="TRK21330732"/>
    <n v="4"/>
    <s v="FREESHIP"/>
    <x v="0"/>
    <x v="622"/>
    <s v="FREESHIP"/>
  </r>
  <r>
    <x v="624"/>
    <x v="462"/>
    <s v="C25967"/>
    <x v="2"/>
    <n v="5"/>
    <n v="341.96"/>
    <s v="747 Main St"/>
    <x v="0"/>
    <x v="3"/>
    <s v="TRK88559278"/>
    <n v="6"/>
    <m/>
    <x v="2"/>
    <x v="623"/>
    <s v="No Coupon"/>
  </r>
  <r>
    <x v="625"/>
    <x v="463"/>
    <s v="C22123"/>
    <x v="2"/>
    <n v="1"/>
    <n v="672.89"/>
    <s v="519 Main St"/>
    <x v="2"/>
    <x v="4"/>
    <s v="TRK43250279"/>
    <n v="1"/>
    <s v="WINTER15"/>
    <x v="2"/>
    <x v="624"/>
    <s v="WINTER15"/>
  </r>
  <r>
    <x v="626"/>
    <x v="417"/>
    <s v="C45671"/>
    <x v="2"/>
    <n v="2"/>
    <n v="657.48"/>
    <s v="769 Main St"/>
    <x v="1"/>
    <x v="0"/>
    <s v="TRK18179773"/>
    <n v="5"/>
    <s v="SAVE10"/>
    <x v="1"/>
    <x v="625"/>
    <s v="SAVE10"/>
  </r>
  <r>
    <x v="627"/>
    <x v="464"/>
    <s v="C53334"/>
    <x v="3"/>
    <n v="3"/>
    <n v="498.68"/>
    <s v="879 Main St"/>
    <x v="1"/>
    <x v="2"/>
    <s v="TRK31724421"/>
    <n v="4"/>
    <s v="FREESHIP"/>
    <x v="2"/>
    <x v="626"/>
    <s v="FREESHIP"/>
  </r>
  <r>
    <x v="628"/>
    <x v="465"/>
    <s v="C18717"/>
    <x v="4"/>
    <n v="5"/>
    <n v="558.63"/>
    <s v="861 Main St"/>
    <x v="4"/>
    <x v="4"/>
    <s v="TRK58568806"/>
    <n v="8"/>
    <s v="FREESHIP"/>
    <x v="1"/>
    <x v="627"/>
    <s v="FREESHIP"/>
  </r>
  <r>
    <x v="629"/>
    <x v="466"/>
    <s v="C50137"/>
    <x v="1"/>
    <n v="3"/>
    <n v="19.73"/>
    <s v="840 Main St"/>
    <x v="1"/>
    <x v="4"/>
    <s v="TRK91836131"/>
    <n v="3"/>
    <m/>
    <x v="1"/>
    <x v="628"/>
    <s v="No Coupon"/>
  </r>
  <r>
    <x v="630"/>
    <x v="467"/>
    <s v="C51481"/>
    <x v="0"/>
    <n v="5"/>
    <n v="248.84"/>
    <s v="140 Main St"/>
    <x v="0"/>
    <x v="1"/>
    <s v="TRK33437701"/>
    <n v="10"/>
    <m/>
    <x v="0"/>
    <x v="629"/>
    <s v="No Coupon"/>
  </r>
  <r>
    <x v="631"/>
    <x v="169"/>
    <s v="C99128"/>
    <x v="3"/>
    <n v="3"/>
    <n v="46.11"/>
    <s v="360 Main St"/>
    <x v="3"/>
    <x v="2"/>
    <s v="TRK32426808"/>
    <n v="5"/>
    <s v="WINTER15"/>
    <x v="1"/>
    <x v="630"/>
    <s v="WINTER15"/>
  </r>
  <r>
    <x v="632"/>
    <x v="468"/>
    <s v="C67260"/>
    <x v="5"/>
    <n v="5"/>
    <n v="678.16"/>
    <s v="463 Main St"/>
    <x v="3"/>
    <x v="3"/>
    <s v="TRK38229104"/>
    <n v="7"/>
    <s v="WINTER15"/>
    <x v="3"/>
    <x v="631"/>
    <s v="WINTER15"/>
  </r>
  <r>
    <x v="633"/>
    <x v="294"/>
    <s v="C79533"/>
    <x v="5"/>
    <n v="5"/>
    <n v="601.72"/>
    <s v="921 Main St"/>
    <x v="3"/>
    <x v="1"/>
    <s v="TRK54711422"/>
    <n v="5"/>
    <s v="WINTER15"/>
    <x v="0"/>
    <x v="632"/>
    <s v="WINTER15"/>
  </r>
  <r>
    <x v="634"/>
    <x v="313"/>
    <s v="C66906"/>
    <x v="4"/>
    <n v="2"/>
    <n v="259.32"/>
    <s v="117 Main St"/>
    <x v="3"/>
    <x v="3"/>
    <s v="TRK31633755"/>
    <n v="2"/>
    <s v="WINTER15"/>
    <x v="1"/>
    <x v="633"/>
    <s v="WINTER15"/>
  </r>
  <r>
    <x v="635"/>
    <x v="141"/>
    <s v="C12818"/>
    <x v="3"/>
    <n v="3"/>
    <n v="63.68"/>
    <s v="434 Main St"/>
    <x v="4"/>
    <x v="2"/>
    <s v="TRK40879983"/>
    <n v="6"/>
    <m/>
    <x v="3"/>
    <x v="634"/>
    <s v="No Coupon"/>
  </r>
  <r>
    <x v="636"/>
    <x v="469"/>
    <s v="C60384"/>
    <x v="5"/>
    <n v="4"/>
    <n v="371.07"/>
    <s v="336 Main St"/>
    <x v="4"/>
    <x v="1"/>
    <s v="TRK92080037"/>
    <n v="7"/>
    <s v="WINTER15"/>
    <x v="3"/>
    <x v="635"/>
    <s v="WINTER15"/>
  </r>
  <r>
    <x v="637"/>
    <x v="470"/>
    <s v="C92294"/>
    <x v="3"/>
    <n v="4"/>
    <n v="306.35000000000002"/>
    <s v="784 Main St"/>
    <x v="3"/>
    <x v="0"/>
    <s v="TRK23585765"/>
    <n v="7"/>
    <s v="WINTER15"/>
    <x v="1"/>
    <x v="636"/>
    <s v="WINTER15"/>
  </r>
  <r>
    <x v="638"/>
    <x v="3"/>
    <s v="C66840"/>
    <x v="2"/>
    <n v="4"/>
    <n v="578.27"/>
    <s v="547 Main St"/>
    <x v="1"/>
    <x v="3"/>
    <s v="TRK76929637"/>
    <n v="9"/>
    <s v="WINTER15"/>
    <x v="2"/>
    <x v="637"/>
    <s v="WINTER15"/>
  </r>
  <r>
    <x v="639"/>
    <x v="325"/>
    <s v="C22534"/>
    <x v="3"/>
    <n v="1"/>
    <n v="529.19000000000005"/>
    <s v="391 Main St"/>
    <x v="4"/>
    <x v="1"/>
    <s v="TRK17415798"/>
    <n v="5"/>
    <m/>
    <x v="1"/>
    <x v="638"/>
    <s v="No Coupon"/>
  </r>
  <r>
    <x v="640"/>
    <x v="2"/>
    <s v="C46509"/>
    <x v="3"/>
    <n v="2"/>
    <n v="587.49"/>
    <s v="647 Main St"/>
    <x v="3"/>
    <x v="2"/>
    <s v="TRK24241664"/>
    <n v="6"/>
    <s v="SAVE10"/>
    <x v="1"/>
    <x v="639"/>
    <s v="SAVE10"/>
  </r>
  <r>
    <x v="641"/>
    <x v="471"/>
    <s v="C71680"/>
    <x v="4"/>
    <n v="4"/>
    <n v="567.57000000000005"/>
    <s v="814 Main St"/>
    <x v="0"/>
    <x v="4"/>
    <s v="TRK47386650"/>
    <n v="9"/>
    <s v="WINTER15"/>
    <x v="4"/>
    <x v="640"/>
    <s v="WINTER15"/>
  </r>
  <r>
    <x v="642"/>
    <x v="472"/>
    <s v="C15063"/>
    <x v="3"/>
    <n v="5"/>
    <n v="85.22"/>
    <s v="527 Main St"/>
    <x v="2"/>
    <x v="1"/>
    <s v="TRK10329390"/>
    <n v="7"/>
    <s v="FREESHIP"/>
    <x v="2"/>
    <x v="641"/>
    <s v="FREESHIP"/>
  </r>
  <r>
    <x v="643"/>
    <x v="360"/>
    <s v="C77122"/>
    <x v="5"/>
    <n v="1"/>
    <n v="438.37"/>
    <s v="647 Main St"/>
    <x v="4"/>
    <x v="1"/>
    <s v="TRK75814880"/>
    <n v="4"/>
    <s v="SAVE10"/>
    <x v="1"/>
    <x v="642"/>
    <s v="SAVE10"/>
  </r>
  <r>
    <x v="644"/>
    <x v="375"/>
    <s v="C86524"/>
    <x v="3"/>
    <n v="2"/>
    <n v="366.23"/>
    <s v="961 Main St"/>
    <x v="4"/>
    <x v="0"/>
    <s v="TRK62490506"/>
    <n v="2"/>
    <s v="WINTER15"/>
    <x v="2"/>
    <x v="643"/>
    <s v="WINTER15"/>
  </r>
  <r>
    <x v="645"/>
    <x v="315"/>
    <s v="C82990"/>
    <x v="5"/>
    <n v="2"/>
    <n v="150.05000000000001"/>
    <s v="727 Main St"/>
    <x v="2"/>
    <x v="1"/>
    <s v="TRK68574801"/>
    <n v="4"/>
    <s v="SAVE10"/>
    <x v="3"/>
    <x v="644"/>
    <s v="SAVE10"/>
  </r>
  <r>
    <x v="646"/>
    <x v="122"/>
    <s v="C98761"/>
    <x v="3"/>
    <n v="4"/>
    <n v="498.51"/>
    <s v="804 Main St"/>
    <x v="0"/>
    <x v="0"/>
    <s v="TRK43262630"/>
    <n v="4"/>
    <s v="SAVE10"/>
    <x v="4"/>
    <x v="645"/>
    <s v="SAVE10"/>
  </r>
  <r>
    <x v="647"/>
    <x v="473"/>
    <s v="C54409"/>
    <x v="6"/>
    <n v="3"/>
    <n v="339.39"/>
    <s v="667 Main St"/>
    <x v="4"/>
    <x v="2"/>
    <s v="TRK67671316"/>
    <n v="7"/>
    <s v="FREESHIP"/>
    <x v="4"/>
    <x v="646"/>
    <s v="FREESHIP"/>
  </r>
  <r>
    <x v="648"/>
    <x v="474"/>
    <s v="C89674"/>
    <x v="0"/>
    <n v="2"/>
    <n v="575.83000000000004"/>
    <s v="182 Main St"/>
    <x v="1"/>
    <x v="3"/>
    <s v="TRK45902512"/>
    <n v="3"/>
    <s v="WINTER15"/>
    <x v="1"/>
    <x v="647"/>
    <s v="WINTER15"/>
  </r>
  <r>
    <x v="649"/>
    <x v="475"/>
    <s v="C45899"/>
    <x v="0"/>
    <n v="2"/>
    <n v="642.98"/>
    <s v="153 Main St"/>
    <x v="0"/>
    <x v="2"/>
    <s v="TRK32932093"/>
    <n v="7"/>
    <s v="FREESHIP"/>
    <x v="2"/>
    <x v="648"/>
    <s v="FREESHIP"/>
  </r>
  <r>
    <x v="650"/>
    <x v="419"/>
    <s v="C74499"/>
    <x v="6"/>
    <n v="2"/>
    <n v="372.23"/>
    <s v="518 Main St"/>
    <x v="3"/>
    <x v="3"/>
    <s v="TRK93767278"/>
    <n v="7"/>
    <s v="SAVE10"/>
    <x v="2"/>
    <x v="649"/>
    <s v="SAVE10"/>
  </r>
  <r>
    <x v="651"/>
    <x v="476"/>
    <s v="C81192"/>
    <x v="3"/>
    <n v="3"/>
    <n v="646.34"/>
    <s v="429 Main St"/>
    <x v="0"/>
    <x v="4"/>
    <s v="TRK76931118"/>
    <n v="5"/>
    <m/>
    <x v="4"/>
    <x v="650"/>
    <s v="No Coupon"/>
  </r>
  <r>
    <x v="652"/>
    <x v="477"/>
    <s v="C71473"/>
    <x v="3"/>
    <n v="5"/>
    <n v="341.84"/>
    <s v="328 Main St"/>
    <x v="1"/>
    <x v="0"/>
    <s v="TRK94857335"/>
    <n v="8"/>
    <s v="FREESHIP"/>
    <x v="0"/>
    <x v="651"/>
    <s v="FREESHIP"/>
  </r>
  <r>
    <x v="653"/>
    <x v="402"/>
    <s v="C59338"/>
    <x v="4"/>
    <n v="3"/>
    <n v="690.3"/>
    <s v="747 Main St"/>
    <x v="2"/>
    <x v="0"/>
    <s v="TRK12902764"/>
    <n v="6"/>
    <s v="WINTER15"/>
    <x v="4"/>
    <x v="652"/>
    <s v="WINTER15"/>
  </r>
  <r>
    <x v="654"/>
    <x v="439"/>
    <s v="C62661"/>
    <x v="2"/>
    <n v="3"/>
    <n v="382.37"/>
    <s v="863 Main St"/>
    <x v="0"/>
    <x v="2"/>
    <s v="TRK25748100"/>
    <n v="8"/>
    <m/>
    <x v="0"/>
    <x v="653"/>
    <s v="No Coupon"/>
  </r>
  <r>
    <x v="655"/>
    <x v="369"/>
    <s v="C22101"/>
    <x v="3"/>
    <n v="2"/>
    <n v="132.6"/>
    <s v="262 Main St"/>
    <x v="0"/>
    <x v="1"/>
    <s v="TRK70711522"/>
    <n v="4"/>
    <s v="WINTER15"/>
    <x v="2"/>
    <x v="654"/>
    <s v="WINTER15"/>
  </r>
  <r>
    <x v="656"/>
    <x v="343"/>
    <s v="C51404"/>
    <x v="0"/>
    <n v="2"/>
    <n v="189.06"/>
    <s v="835 Main St"/>
    <x v="3"/>
    <x v="0"/>
    <s v="TRK85682500"/>
    <n v="7"/>
    <s v="SAVE10"/>
    <x v="3"/>
    <x v="655"/>
    <s v="SAVE10"/>
  </r>
  <r>
    <x v="657"/>
    <x v="478"/>
    <s v="C19384"/>
    <x v="2"/>
    <n v="4"/>
    <n v="87.79"/>
    <s v="532 Main St"/>
    <x v="4"/>
    <x v="1"/>
    <s v="TRK33207064"/>
    <n v="6"/>
    <s v="FREESHIP"/>
    <x v="0"/>
    <x v="656"/>
    <s v="FREESHIP"/>
  </r>
  <r>
    <x v="658"/>
    <x v="479"/>
    <s v="C86864"/>
    <x v="4"/>
    <n v="2"/>
    <n v="46.36"/>
    <s v="670 Main St"/>
    <x v="3"/>
    <x v="2"/>
    <s v="TRK15323191"/>
    <n v="4"/>
    <s v="SAVE10"/>
    <x v="4"/>
    <x v="657"/>
    <s v="SAVE10"/>
  </r>
  <r>
    <x v="659"/>
    <x v="480"/>
    <s v="C24301"/>
    <x v="1"/>
    <n v="2"/>
    <n v="642.04"/>
    <s v="964 Main St"/>
    <x v="3"/>
    <x v="3"/>
    <s v="TRK55000075"/>
    <n v="4"/>
    <s v="WINTER15"/>
    <x v="2"/>
    <x v="658"/>
    <s v="WINTER15"/>
  </r>
  <r>
    <x v="660"/>
    <x v="481"/>
    <s v="C43842"/>
    <x v="3"/>
    <n v="2"/>
    <n v="651.57000000000005"/>
    <s v="933 Main St"/>
    <x v="0"/>
    <x v="0"/>
    <s v="TRK54084424"/>
    <n v="7"/>
    <s v="WINTER15"/>
    <x v="3"/>
    <x v="659"/>
    <s v="WINTER15"/>
  </r>
  <r>
    <x v="661"/>
    <x v="252"/>
    <s v="C63657"/>
    <x v="2"/>
    <n v="3"/>
    <n v="424.89"/>
    <s v="116 Main St"/>
    <x v="0"/>
    <x v="1"/>
    <s v="TRK86378984"/>
    <n v="6"/>
    <s v="FREESHIP"/>
    <x v="4"/>
    <x v="660"/>
    <s v="FREESHIP"/>
  </r>
  <r>
    <x v="662"/>
    <x v="423"/>
    <s v="C98332"/>
    <x v="5"/>
    <n v="3"/>
    <n v="438.89"/>
    <s v="985 Main St"/>
    <x v="4"/>
    <x v="2"/>
    <s v="TRK85744797"/>
    <n v="3"/>
    <m/>
    <x v="3"/>
    <x v="661"/>
    <s v="No Coupon"/>
  </r>
  <r>
    <x v="663"/>
    <x v="116"/>
    <s v="C59774"/>
    <x v="0"/>
    <n v="1"/>
    <n v="72.599999999999994"/>
    <s v="941 Main St"/>
    <x v="0"/>
    <x v="1"/>
    <s v="TRK87635135"/>
    <n v="6"/>
    <s v="FREESHIP"/>
    <x v="0"/>
    <x v="662"/>
    <s v="FREESHIP"/>
  </r>
  <r>
    <x v="664"/>
    <x v="36"/>
    <s v="C14847"/>
    <x v="5"/>
    <n v="4"/>
    <n v="194.75"/>
    <s v="188 Main St"/>
    <x v="4"/>
    <x v="0"/>
    <s v="TRK46492755"/>
    <n v="5"/>
    <m/>
    <x v="3"/>
    <x v="663"/>
    <s v="No Coupon"/>
  </r>
  <r>
    <x v="665"/>
    <x v="468"/>
    <s v="C83653"/>
    <x v="2"/>
    <n v="4"/>
    <n v="231.26"/>
    <s v="253 Main St"/>
    <x v="1"/>
    <x v="0"/>
    <s v="TRK32619935"/>
    <n v="6"/>
    <s v="WINTER15"/>
    <x v="4"/>
    <x v="664"/>
    <s v="WINTER15"/>
  </r>
  <r>
    <x v="666"/>
    <x v="169"/>
    <s v="C35711"/>
    <x v="0"/>
    <n v="4"/>
    <n v="327.12"/>
    <s v="788 Main St"/>
    <x v="2"/>
    <x v="1"/>
    <s v="TRK45281495"/>
    <n v="4"/>
    <m/>
    <x v="2"/>
    <x v="665"/>
    <s v="No Coupon"/>
  </r>
  <r>
    <x v="667"/>
    <x v="71"/>
    <s v="C10477"/>
    <x v="5"/>
    <n v="1"/>
    <n v="466.42"/>
    <s v="172 Main St"/>
    <x v="3"/>
    <x v="4"/>
    <s v="TRK41505339"/>
    <n v="5"/>
    <s v="SAVE10"/>
    <x v="2"/>
    <x v="666"/>
    <s v="SAVE10"/>
  </r>
  <r>
    <x v="668"/>
    <x v="482"/>
    <s v="C61257"/>
    <x v="0"/>
    <n v="2"/>
    <n v="253.67"/>
    <s v="981 Main St"/>
    <x v="4"/>
    <x v="2"/>
    <s v="TRK25226070"/>
    <n v="3"/>
    <s v="WINTER15"/>
    <x v="3"/>
    <x v="667"/>
    <s v="WINTER15"/>
  </r>
  <r>
    <x v="669"/>
    <x v="483"/>
    <s v="C60547"/>
    <x v="6"/>
    <n v="1"/>
    <n v="257"/>
    <s v="812 Main St"/>
    <x v="0"/>
    <x v="1"/>
    <s v="TRK65694249"/>
    <n v="5"/>
    <m/>
    <x v="1"/>
    <x v="668"/>
    <s v="No Coupon"/>
  </r>
  <r>
    <x v="670"/>
    <x v="171"/>
    <s v="C14576"/>
    <x v="6"/>
    <n v="4"/>
    <n v="539.20000000000005"/>
    <s v="747 Main St"/>
    <x v="2"/>
    <x v="4"/>
    <s v="TRK21637540"/>
    <n v="8"/>
    <s v="FREESHIP"/>
    <x v="4"/>
    <x v="669"/>
    <s v="FREESHIP"/>
  </r>
  <r>
    <x v="671"/>
    <x v="484"/>
    <s v="C49282"/>
    <x v="3"/>
    <n v="5"/>
    <n v="50.74"/>
    <s v="737 Main St"/>
    <x v="3"/>
    <x v="1"/>
    <s v="TRK88653901"/>
    <n v="7"/>
    <s v="WINTER15"/>
    <x v="4"/>
    <x v="670"/>
    <s v="WINTER15"/>
  </r>
  <r>
    <x v="672"/>
    <x v="221"/>
    <s v="C14017"/>
    <x v="1"/>
    <n v="2"/>
    <n v="624.16"/>
    <s v="984 Main St"/>
    <x v="0"/>
    <x v="0"/>
    <s v="TRK71009446"/>
    <n v="2"/>
    <s v="SAVE10"/>
    <x v="0"/>
    <x v="671"/>
    <s v="SAVE10"/>
  </r>
  <r>
    <x v="673"/>
    <x v="485"/>
    <s v="C46504"/>
    <x v="2"/>
    <n v="2"/>
    <n v="372.92"/>
    <s v="131 Main St"/>
    <x v="2"/>
    <x v="3"/>
    <s v="TRK95024356"/>
    <n v="7"/>
    <s v="SAVE10"/>
    <x v="2"/>
    <x v="672"/>
    <s v="SAVE10"/>
  </r>
  <r>
    <x v="674"/>
    <x v="486"/>
    <s v="C56928"/>
    <x v="5"/>
    <n v="4"/>
    <n v="358.75"/>
    <s v="860 Main St"/>
    <x v="3"/>
    <x v="3"/>
    <s v="TRK57792939"/>
    <n v="9"/>
    <s v="SAVE10"/>
    <x v="3"/>
    <x v="673"/>
    <s v="SAVE10"/>
  </r>
  <r>
    <x v="675"/>
    <x v="76"/>
    <s v="C97749"/>
    <x v="6"/>
    <n v="3"/>
    <n v="342.02"/>
    <s v="906 Main St"/>
    <x v="0"/>
    <x v="4"/>
    <s v="TRK90233116"/>
    <n v="5"/>
    <m/>
    <x v="2"/>
    <x v="674"/>
    <s v="No Coupon"/>
  </r>
  <r>
    <x v="676"/>
    <x v="127"/>
    <s v="C90431"/>
    <x v="5"/>
    <n v="2"/>
    <n v="422.34"/>
    <s v="985 Main St"/>
    <x v="2"/>
    <x v="1"/>
    <s v="TRK44151723"/>
    <n v="4"/>
    <s v="FREESHIP"/>
    <x v="0"/>
    <x v="675"/>
    <s v="FREESHIP"/>
  </r>
  <r>
    <x v="677"/>
    <x v="487"/>
    <s v="C56722"/>
    <x v="2"/>
    <n v="5"/>
    <n v="22.07"/>
    <s v="179 Main St"/>
    <x v="1"/>
    <x v="1"/>
    <s v="TRK78778569"/>
    <n v="7"/>
    <s v="FREESHIP"/>
    <x v="0"/>
    <x v="676"/>
    <s v="FREESHIP"/>
  </r>
  <r>
    <x v="678"/>
    <x v="167"/>
    <s v="C40863"/>
    <x v="3"/>
    <n v="3"/>
    <n v="163.13"/>
    <s v="457 Main St"/>
    <x v="3"/>
    <x v="0"/>
    <s v="TRK20553345"/>
    <n v="5"/>
    <s v="WINTER15"/>
    <x v="3"/>
    <x v="677"/>
    <s v="WINTER15"/>
  </r>
  <r>
    <x v="679"/>
    <x v="488"/>
    <s v="C40798"/>
    <x v="2"/>
    <n v="3"/>
    <n v="360.66"/>
    <s v="304 Main St"/>
    <x v="1"/>
    <x v="2"/>
    <s v="TRK66106697"/>
    <n v="5"/>
    <s v="FREESHIP"/>
    <x v="0"/>
    <x v="678"/>
    <s v="FREESHIP"/>
  </r>
  <r>
    <x v="680"/>
    <x v="183"/>
    <s v="C16702"/>
    <x v="0"/>
    <n v="3"/>
    <n v="463.39"/>
    <s v="694 Main St"/>
    <x v="2"/>
    <x v="2"/>
    <s v="TRK16953491"/>
    <n v="3"/>
    <m/>
    <x v="3"/>
    <x v="679"/>
    <s v="No Coupon"/>
  </r>
  <r>
    <x v="681"/>
    <x v="489"/>
    <s v="C38262"/>
    <x v="2"/>
    <n v="1"/>
    <n v="155.27000000000001"/>
    <s v="548 Main St"/>
    <x v="0"/>
    <x v="0"/>
    <s v="TRK47300502"/>
    <n v="6"/>
    <m/>
    <x v="2"/>
    <x v="680"/>
    <s v="No Coupon"/>
  </r>
  <r>
    <x v="682"/>
    <x v="363"/>
    <s v="C50274"/>
    <x v="0"/>
    <n v="3"/>
    <n v="509.42"/>
    <s v="449 Main St"/>
    <x v="2"/>
    <x v="1"/>
    <s v="TRK91729086"/>
    <n v="5"/>
    <s v="FREESHIP"/>
    <x v="4"/>
    <x v="681"/>
    <s v="FREESHIP"/>
  </r>
  <r>
    <x v="683"/>
    <x v="490"/>
    <s v="C91591"/>
    <x v="6"/>
    <n v="4"/>
    <n v="652.48"/>
    <s v="887 Main St"/>
    <x v="4"/>
    <x v="4"/>
    <s v="TRK23554043"/>
    <n v="5"/>
    <s v="FREESHIP"/>
    <x v="0"/>
    <x v="682"/>
    <s v="FREESHIP"/>
  </r>
  <r>
    <x v="684"/>
    <x v="491"/>
    <s v="C96583"/>
    <x v="4"/>
    <n v="4"/>
    <n v="34.840000000000003"/>
    <s v="288 Main St"/>
    <x v="2"/>
    <x v="0"/>
    <s v="TRK64353241"/>
    <n v="8"/>
    <m/>
    <x v="2"/>
    <x v="683"/>
    <s v="No Coupon"/>
  </r>
  <r>
    <x v="685"/>
    <x v="492"/>
    <s v="C64579"/>
    <x v="6"/>
    <n v="1"/>
    <n v="234.37"/>
    <s v="638 Main St"/>
    <x v="0"/>
    <x v="0"/>
    <s v="TRK10276565"/>
    <n v="5"/>
    <s v="FREESHIP"/>
    <x v="2"/>
    <x v="684"/>
    <s v="FREESHIP"/>
  </r>
  <r>
    <x v="686"/>
    <x v="112"/>
    <s v="C41903"/>
    <x v="6"/>
    <n v="3"/>
    <n v="53.6"/>
    <s v="525 Main St"/>
    <x v="4"/>
    <x v="4"/>
    <s v="TRK59112382"/>
    <n v="4"/>
    <s v="WINTER15"/>
    <x v="3"/>
    <x v="685"/>
    <s v="WINTER15"/>
  </r>
  <r>
    <x v="687"/>
    <x v="493"/>
    <s v="C19742"/>
    <x v="2"/>
    <n v="1"/>
    <n v="332.09"/>
    <s v="408 Main St"/>
    <x v="3"/>
    <x v="2"/>
    <s v="TRK68845230"/>
    <n v="5"/>
    <s v="FREESHIP"/>
    <x v="0"/>
    <x v="686"/>
    <s v="FREESHIP"/>
  </r>
  <r>
    <x v="688"/>
    <x v="26"/>
    <s v="C20077"/>
    <x v="0"/>
    <n v="4"/>
    <n v="593.22"/>
    <s v="154 Main St"/>
    <x v="2"/>
    <x v="1"/>
    <s v="TRK36415742"/>
    <n v="8"/>
    <s v="WINTER15"/>
    <x v="3"/>
    <x v="687"/>
    <s v="WINTER15"/>
  </r>
  <r>
    <x v="689"/>
    <x v="193"/>
    <s v="C13186"/>
    <x v="2"/>
    <n v="2"/>
    <n v="444.84"/>
    <s v="787 Main St"/>
    <x v="1"/>
    <x v="0"/>
    <s v="TRK56967415"/>
    <n v="7"/>
    <m/>
    <x v="3"/>
    <x v="688"/>
    <s v="No Coupon"/>
  </r>
  <r>
    <x v="690"/>
    <x v="494"/>
    <s v="C29318"/>
    <x v="0"/>
    <n v="1"/>
    <n v="24.48"/>
    <s v="128 Main St"/>
    <x v="3"/>
    <x v="2"/>
    <s v="TRK88666721"/>
    <n v="1"/>
    <m/>
    <x v="0"/>
    <x v="689"/>
    <s v="No Coupon"/>
  </r>
  <r>
    <x v="691"/>
    <x v="167"/>
    <s v="C36137"/>
    <x v="5"/>
    <n v="3"/>
    <n v="239.08"/>
    <s v="396 Main St"/>
    <x v="4"/>
    <x v="0"/>
    <s v="TRK57376416"/>
    <n v="8"/>
    <m/>
    <x v="4"/>
    <x v="690"/>
    <s v="No Coupon"/>
  </r>
  <r>
    <x v="692"/>
    <x v="19"/>
    <s v="C25534"/>
    <x v="6"/>
    <n v="5"/>
    <n v="196.84"/>
    <s v="319 Main St"/>
    <x v="2"/>
    <x v="3"/>
    <s v="TRK68347402"/>
    <n v="5"/>
    <s v="WINTER15"/>
    <x v="0"/>
    <x v="691"/>
    <s v="WINTER15"/>
  </r>
  <r>
    <x v="693"/>
    <x v="495"/>
    <s v="C62070"/>
    <x v="0"/>
    <n v="1"/>
    <n v="176.58"/>
    <s v="674 Main St"/>
    <x v="0"/>
    <x v="2"/>
    <s v="TRK10267127"/>
    <n v="4"/>
    <m/>
    <x v="1"/>
    <x v="692"/>
    <s v="No Coupon"/>
  </r>
  <r>
    <x v="694"/>
    <x v="276"/>
    <s v="C92049"/>
    <x v="4"/>
    <n v="4"/>
    <n v="666.52"/>
    <s v="619 Main St"/>
    <x v="4"/>
    <x v="0"/>
    <s v="TRK32287092"/>
    <n v="8"/>
    <s v="FREESHIP"/>
    <x v="2"/>
    <x v="693"/>
    <s v="FREESHIP"/>
  </r>
  <r>
    <x v="695"/>
    <x v="432"/>
    <s v="C52604"/>
    <x v="4"/>
    <n v="5"/>
    <n v="101.3"/>
    <s v="553 Main St"/>
    <x v="1"/>
    <x v="0"/>
    <s v="TRK48839788"/>
    <n v="7"/>
    <s v="FREESHIP"/>
    <x v="2"/>
    <x v="694"/>
    <s v="FREESHIP"/>
  </r>
  <r>
    <x v="696"/>
    <x v="226"/>
    <s v="C22429"/>
    <x v="3"/>
    <n v="4"/>
    <n v="151.19999999999999"/>
    <s v="965 Main St"/>
    <x v="3"/>
    <x v="4"/>
    <s v="TRK38572927"/>
    <n v="9"/>
    <s v="WINTER15"/>
    <x v="3"/>
    <x v="695"/>
    <s v="WINTER15"/>
  </r>
  <r>
    <x v="697"/>
    <x v="496"/>
    <s v="C27430"/>
    <x v="4"/>
    <n v="5"/>
    <n v="94.85"/>
    <s v="788 Main St"/>
    <x v="4"/>
    <x v="0"/>
    <s v="TRK45025840"/>
    <n v="6"/>
    <s v="WINTER15"/>
    <x v="2"/>
    <x v="696"/>
    <s v="WINTER15"/>
  </r>
  <r>
    <x v="698"/>
    <x v="0"/>
    <s v="C44366"/>
    <x v="5"/>
    <n v="2"/>
    <n v="388.22"/>
    <s v="169 Main St"/>
    <x v="4"/>
    <x v="3"/>
    <s v="TRK48658394"/>
    <n v="2"/>
    <s v="WINTER15"/>
    <x v="0"/>
    <x v="697"/>
    <s v="WINTER15"/>
  </r>
  <r>
    <x v="699"/>
    <x v="497"/>
    <s v="C36813"/>
    <x v="5"/>
    <n v="3"/>
    <n v="614.15"/>
    <s v="897 Main St"/>
    <x v="3"/>
    <x v="1"/>
    <s v="TRK84088900"/>
    <n v="3"/>
    <m/>
    <x v="3"/>
    <x v="698"/>
    <s v="No Coupon"/>
  </r>
  <r>
    <x v="700"/>
    <x v="498"/>
    <s v="C40201"/>
    <x v="5"/>
    <n v="2"/>
    <n v="92.91"/>
    <s v="555 Main St"/>
    <x v="4"/>
    <x v="2"/>
    <s v="TRK30198779"/>
    <n v="3"/>
    <s v="WINTER15"/>
    <x v="0"/>
    <x v="699"/>
    <s v="WINTER15"/>
  </r>
  <r>
    <x v="701"/>
    <x v="499"/>
    <s v="C75456"/>
    <x v="0"/>
    <n v="3"/>
    <n v="92.22"/>
    <s v="115 Main St"/>
    <x v="2"/>
    <x v="3"/>
    <s v="TRK90519490"/>
    <n v="5"/>
    <s v="FREESHIP"/>
    <x v="2"/>
    <x v="700"/>
    <s v="FREESHIP"/>
  </r>
  <r>
    <x v="702"/>
    <x v="410"/>
    <s v="C33315"/>
    <x v="4"/>
    <n v="3"/>
    <n v="562.54999999999995"/>
    <s v="154 Main St"/>
    <x v="0"/>
    <x v="2"/>
    <s v="TRK43589369"/>
    <n v="6"/>
    <m/>
    <x v="2"/>
    <x v="701"/>
    <s v="No Coupon"/>
  </r>
  <r>
    <x v="703"/>
    <x v="500"/>
    <s v="C89336"/>
    <x v="6"/>
    <n v="1"/>
    <n v="92.79"/>
    <s v="799 Main St"/>
    <x v="4"/>
    <x v="4"/>
    <s v="TRK47665103"/>
    <n v="3"/>
    <s v="WINTER15"/>
    <x v="2"/>
    <x v="702"/>
    <s v="WINTER15"/>
  </r>
  <r>
    <x v="704"/>
    <x v="301"/>
    <s v="C96034"/>
    <x v="6"/>
    <n v="4"/>
    <n v="30.27"/>
    <s v="819 Main St"/>
    <x v="1"/>
    <x v="3"/>
    <s v="TRK87261034"/>
    <n v="9"/>
    <s v="FREESHIP"/>
    <x v="4"/>
    <x v="703"/>
    <s v="FREESHIP"/>
  </r>
  <r>
    <x v="705"/>
    <x v="501"/>
    <s v="C50114"/>
    <x v="0"/>
    <n v="2"/>
    <n v="49.08"/>
    <s v="420 Main St"/>
    <x v="0"/>
    <x v="2"/>
    <s v="TRK20214786"/>
    <n v="7"/>
    <s v="FREESHIP"/>
    <x v="0"/>
    <x v="704"/>
    <s v="FREESHIP"/>
  </r>
  <r>
    <x v="706"/>
    <x v="380"/>
    <s v="C85330"/>
    <x v="6"/>
    <n v="5"/>
    <n v="228.09"/>
    <s v="969 Main St"/>
    <x v="3"/>
    <x v="2"/>
    <s v="TRK97693301"/>
    <n v="9"/>
    <s v="FREESHIP"/>
    <x v="3"/>
    <x v="705"/>
    <s v="FREESHIP"/>
  </r>
  <r>
    <x v="707"/>
    <x v="377"/>
    <s v="C31761"/>
    <x v="3"/>
    <n v="4"/>
    <n v="650.04"/>
    <s v="989 Main St"/>
    <x v="3"/>
    <x v="1"/>
    <s v="TRK17628852"/>
    <n v="6"/>
    <s v="SAVE10"/>
    <x v="3"/>
    <x v="706"/>
    <s v="SAVE10"/>
  </r>
  <r>
    <x v="708"/>
    <x v="155"/>
    <s v="C25268"/>
    <x v="4"/>
    <n v="1"/>
    <n v="665.11"/>
    <s v="788 Main St"/>
    <x v="4"/>
    <x v="4"/>
    <s v="TRK20481215"/>
    <n v="3"/>
    <s v="FREESHIP"/>
    <x v="0"/>
    <x v="707"/>
    <s v="FREESHIP"/>
  </r>
  <r>
    <x v="709"/>
    <x v="34"/>
    <s v="C17132"/>
    <x v="6"/>
    <n v="1"/>
    <n v="386.03"/>
    <s v="855 Main St"/>
    <x v="1"/>
    <x v="4"/>
    <s v="TRK37504692"/>
    <n v="4"/>
    <s v="FREESHIP"/>
    <x v="4"/>
    <x v="708"/>
    <s v="FREESHIP"/>
  </r>
  <r>
    <x v="710"/>
    <x v="319"/>
    <s v="C48790"/>
    <x v="5"/>
    <n v="5"/>
    <n v="21.54"/>
    <s v="113 Main St"/>
    <x v="3"/>
    <x v="2"/>
    <s v="TRK19086608"/>
    <n v="10"/>
    <m/>
    <x v="4"/>
    <x v="709"/>
    <s v="No Coupon"/>
  </r>
  <r>
    <x v="711"/>
    <x v="502"/>
    <s v="C61070"/>
    <x v="2"/>
    <n v="2"/>
    <n v="475.78"/>
    <s v="632 Main St"/>
    <x v="1"/>
    <x v="0"/>
    <s v="TRK90764894"/>
    <n v="2"/>
    <s v="WINTER15"/>
    <x v="4"/>
    <x v="710"/>
    <s v="WINTER15"/>
  </r>
  <r>
    <x v="712"/>
    <x v="486"/>
    <s v="C56969"/>
    <x v="2"/>
    <n v="2"/>
    <n v="68.400000000000006"/>
    <s v="993 Main St"/>
    <x v="3"/>
    <x v="4"/>
    <s v="TRK10513339"/>
    <n v="7"/>
    <s v="FREESHIP"/>
    <x v="2"/>
    <x v="711"/>
    <s v="FREESHIP"/>
  </r>
  <r>
    <x v="713"/>
    <x v="370"/>
    <s v="C65056"/>
    <x v="2"/>
    <n v="4"/>
    <n v="532.49"/>
    <s v="638 Main St"/>
    <x v="1"/>
    <x v="1"/>
    <s v="TRK31705278"/>
    <n v="6"/>
    <s v="SAVE10"/>
    <x v="3"/>
    <x v="712"/>
    <s v="SAVE10"/>
  </r>
  <r>
    <x v="714"/>
    <x v="453"/>
    <s v="C84888"/>
    <x v="5"/>
    <n v="1"/>
    <n v="51.73"/>
    <s v="278 Main St"/>
    <x v="0"/>
    <x v="4"/>
    <s v="TRK23612847"/>
    <n v="1"/>
    <s v="FREESHIP"/>
    <x v="3"/>
    <x v="713"/>
    <s v="FREESHIP"/>
  </r>
  <r>
    <x v="715"/>
    <x v="503"/>
    <s v="C68266"/>
    <x v="4"/>
    <n v="3"/>
    <n v="653.63"/>
    <s v="281 Main St"/>
    <x v="1"/>
    <x v="3"/>
    <s v="TRK96161062"/>
    <n v="7"/>
    <s v="FREESHIP"/>
    <x v="2"/>
    <x v="714"/>
    <s v="FREESHIP"/>
  </r>
  <r>
    <x v="716"/>
    <x v="136"/>
    <s v="C84115"/>
    <x v="3"/>
    <n v="3"/>
    <n v="454.29"/>
    <s v="891 Main St"/>
    <x v="2"/>
    <x v="4"/>
    <s v="TRK25466842"/>
    <n v="4"/>
    <s v="WINTER15"/>
    <x v="4"/>
    <x v="715"/>
    <s v="WINTER15"/>
  </r>
  <r>
    <x v="717"/>
    <x v="504"/>
    <s v="C50087"/>
    <x v="3"/>
    <n v="3"/>
    <n v="122.11"/>
    <s v="707 Main St"/>
    <x v="1"/>
    <x v="3"/>
    <s v="TRK31143760"/>
    <n v="4"/>
    <s v="WINTER15"/>
    <x v="2"/>
    <x v="716"/>
    <s v="WINTER15"/>
  </r>
  <r>
    <x v="718"/>
    <x v="505"/>
    <s v="C16790"/>
    <x v="5"/>
    <n v="4"/>
    <n v="64.739999999999995"/>
    <s v="718 Main St"/>
    <x v="3"/>
    <x v="1"/>
    <s v="TRK91791367"/>
    <n v="8"/>
    <s v="SAVE10"/>
    <x v="4"/>
    <x v="717"/>
    <s v="SAVE10"/>
  </r>
  <r>
    <x v="719"/>
    <x v="506"/>
    <s v="C46920"/>
    <x v="5"/>
    <n v="2"/>
    <n v="681.06"/>
    <s v="703 Main St"/>
    <x v="0"/>
    <x v="0"/>
    <s v="TRK86403837"/>
    <n v="3"/>
    <s v="FREESHIP"/>
    <x v="3"/>
    <x v="718"/>
    <s v="FREESHIP"/>
  </r>
  <r>
    <x v="720"/>
    <x v="507"/>
    <s v="C12740"/>
    <x v="6"/>
    <n v="5"/>
    <n v="128.94999999999999"/>
    <s v="305 Main St"/>
    <x v="4"/>
    <x v="4"/>
    <s v="TRK98506513"/>
    <n v="10"/>
    <s v="FREESHIP"/>
    <x v="0"/>
    <x v="719"/>
    <s v="FREESHIP"/>
  </r>
  <r>
    <x v="721"/>
    <x v="508"/>
    <s v="C46557"/>
    <x v="6"/>
    <n v="2"/>
    <n v="118.59"/>
    <s v="890 Main St"/>
    <x v="2"/>
    <x v="3"/>
    <s v="TRK56110689"/>
    <n v="2"/>
    <m/>
    <x v="2"/>
    <x v="720"/>
    <s v="No Coupon"/>
  </r>
  <r>
    <x v="722"/>
    <x v="64"/>
    <s v="C58156"/>
    <x v="4"/>
    <n v="1"/>
    <n v="95.1"/>
    <s v="516 Main St"/>
    <x v="3"/>
    <x v="4"/>
    <s v="TRK49719458"/>
    <n v="1"/>
    <s v="WINTER15"/>
    <x v="0"/>
    <x v="721"/>
    <s v="WINTER15"/>
  </r>
  <r>
    <x v="723"/>
    <x v="509"/>
    <s v="C14455"/>
    <x v="6"/>
    <n v="3"/>
    <n v="54.95"/>
    <s v="385 Main St"/>
    <x v="4"/>
    <x v="2"/>
    <s v="TRK50933724"/>
    <n v="8"/>
    <s v="SAVE10"/>
    <x v="1"/>
    <x v="722"/>
    <s v="SAVE10"/>
  </r>
  <r>
    <x v="724"/>
    <x v="266"/>
    <s v="C63150"/>
    <x v="4"/>
    <n v="3"/>
    <n v="136.97"/>
    <s v="326 Main St"/>
    <x v="2"/>
    <x v="2"/>
    <s v="TRK19348078"/>
    <n v="4"/>
    <s v="FREESHIP"/>
    <x v="1"/>
    <x v="723"/>
    <s v="FREESHIP"/>
  </r>
  <r>
    <x v="725"/>
    <x v="255"/>
    <s v="C95269"/>
    <x v="3"/>
    <n v="2"/>
    <n v="194.85"/>
    <s v="372 Main St"/>
    <x v="3"/>
    <x v="2"/>
    <s v="TRK45670926"/>
    <n v="5"/>
    <m/>
    <x v="1"/>
    <x v="724"/>
    <s v="No Coupon"/>
  </r>
  <r>
    <x v="726"/>
    <x v="510"/>
    <s v="C18105"/>
    <x v="5"/>
    <n v="4"/>
    <n v="583.02"/>
    <s v="338 Main St"/>
    <x v="1"/>
    <x v="3"/>
    <s v="TRK94006117"/>
    <n v="4"/>
    <s v="FREESHIP"/>
    <x v="3"/>
    <x v="725"/>
    <s v="FREESHIP"/>
  </r>
  <r>
    <x v="727"/>
    <x v="470"/>
    <s v="C29063"/>
    <x v="3"/>
    <n v="5"/>
    <n v="95.75"/>
    <s v="379 Main St"/>
    <x v="1"/>
    <x v="0"/>
    <s v="TRK92745947"/>
    <n v="8"/>
    <s v="SAVE10"/>
    <x v="0"/>
    <x v="726"/>
    <s v="SAVE10"/>
  </r>
  <r>
    <x v="728"/>
    <x v="511"/>
    <s v="C10154"/>
    <x v="6"/>
    <n v="4"/>
    <n v="325.76"/>
    <s v="827 Main St"/>
    <x v="3"/>
    <x v="0"/>
    <s v="TRK79793300"/>
    <n v="8"/>
    <s v="WINTER15"/>
    <x v="2"/>
    <x v="727"/>
    <s v="WINTER15"/>
  </r>
  <r>
    <x v="729"/>
    <x v="102"/>
    <s v="C36997"/>
    <x v="1"/>
    <n v="4"/>
    <n v="186.41"/>
    <s v="819 Main St"/>
    <x v="3"/>
    <x v="4"/>
    <s v="TRK92794872"/>
    <n v="6"/>
    <s v="SAVE10"/>
    <x v="4"/>
    <x v="728"/>
    <s v="SAVE10"/>
  </r>
  <r>
    <x v="730"/>
    <x v="512"/>
    <s v="C77357"/>
    <x v="1"/>
    <n v="1"/>
    <n v="474.6"/>
    <s v="407 Main St"/>
    <x v="0"/>
    <x v="3"/>
    <s v="TRK91943923"/>
    <n v="4"/>
    <s v="SAVE10"/>
    <x v="2"/>
    <x v="729"/>
    <s v="SAVE10"/>
  </r>
  <r>
    <x v="731"/>
    <x v="267"/>
    <s v="C71310"/>
    <x v="4"/>
    <n v="5"/>
    <n v="584.46"/>
    <s v="308 Main St"/>
    <x v="2"/>
    <x v="2"/>
    <s v="TRK48292586"/>
    <n v="8"/>
    <m/>
    <x v="2"/>
    <x v="730"/>
    <s v="No Coupon"/>
  </r>
  <r>
    <x v="732"/>
    <x v="456"/>
    <s v="C80987"/>
    <x v="5"/>
    <n v="1"/>
    <n v="132.05000000000001"/>
    <s v="787 Main St"/>
    <x v="1"/>
    <x v="3"/>
    <s v="TRK42187776"/>
    <n v="2"/>
    <m/>
    <x v="4"/>
    <x v="731"/>
    <s v="No Coupon"/>
  </r>
  <r>
    <x v="733"/>
    <x v="513"/>
    <s v="C90757"/>
    <x v="2"/>
    <n v="4"/>
    <n v="494.84"/>
    <s v="694 Main St"/>
    <x v="4"/>
    <x v="2"/>
    <s v="TRK87991608"/>
    <n v="8"/>
    <s v="SAVE10"/>
    <x v="2"/>
    <x v="732"/>
    <s v="SAVE10"/>
  </r>
  <r>
    <x v="734"/>
    <x v="514"/>
    <s v="C51898"/>
    <x v="4"/>
    <n v="4"/>
    <n v="224.61"/>
    <s v="630 Main St"/>
    <x v="2"/>
    <x v="2"/>
    <s v="TRK19767885"/>
    <n v="6"/>
    <s v="WINTER15"/>
    <x v="3"/>
    <x v="733"/>
    <s v="WINTER15"/>
  </r>
  <r>
    <x v="735"/>
    <x v="515"/>
    <s v="C94508"/>
    <x v="0"/>
    <n v="4"/>
    <n v="44.07"/>
    <s v="359 Main St"/>
    <x v="0"/>
    <x v="4"/>
    <s v="TRK13443264"/>
    <n v="6"/>
    <m/>
    <x v="2"/>
    <x v="734"/>
    <s v="No Coupon"/>
  </r>
  <r>
    <x v="736"/>
    <x v="516"/>
    <s v="C59441"/>
    <x v="0"/>
    <n v="5"/>
    <n v="418.53"/>
    <s v="696 Main St"/>
    <x v="2"/>
    <x v="4"/>
    <s v="TRK66186874"/>
    <n v="6"/>
    <s v="FREESHIP"/>
    <x v="4"/>
    <x v="735"/>
    <s v="FREESHIP"/>
  </r>
  <r>
    <x v="737"/>
    <x v="517"/>
    <s v="C91029"/>
    <x v="1"/>
    <n v="4"/>
    <n v="532.87"/>
    <s v="972 Main St"/>
    <x v="4"/>
    <x v="4"/>
    <s v="TRK25501930"/>
    <n v="9"/>
    <s v="FREESHIP"/>
    <x v="0"/>
    <x v="736"/>
    <s v="FREESHIP"/>
  </r>
  <r>
    <x v="738"/>
    <x v="518"/>
    <s v="C96261"/>
    <x v="1"/>
    <n v="2"/>
    <n v="485.37"/>
    <s v="264 Main St"/>
    <x v="2"/>
    <x v="0"/>
    <s v="TRK44998396"/>
    <n v="5"/>
    <s v="SAVE10"/>
    <x v="2"/>
    <x v="737"/>
    <s v="SAVE10"/>
  </r>
  <r>
    <x v="739"/>
    <x v="136"/>
    <s v="C35123"/>
    <x v="1"/>
    <n v="4"/>
    <n v="386.73"/>
    <s v="513 Main St"/>
    <x v="4"/>
    <x v="3"/>
    <s v="TRK58979275"/>
    <n v="4"/>
    <s v="SAVE10"/>
    <x v="3"/>
    <x v="738"/>
    <s v="SAVE10"/>
  </r>
  <r>
    <x v="740"/>
    <x v="351"/>
    <s v="C10892"/>
    <x v="6"/>
    <n v="2"/>
    <n v="377.47"/>
    <s v="433 Main St"/>
    <x v="4"/>
    <x v="4"/>
    <s v="TRK76154554"/>
    <n v="7"/>
    <m/>
    <x v="4"/>
    <x v="739"/>
    <s v="No Coupon"/>
  </r>
  <r>
    <x v="741"/>
    <x v="185"/>
    <s v="C99683"/>
    <x v="0"/>
    <n v="5"/>
    <n v="332.64"/>
    <s v="945 Main St"/>
    <x v="3"/>
    <x v="3"/>
    <s v="TRK87305883"/>
    <n v="10"/>
    <m/>
    <x v="1"/>
    <x v="740"/>
    <s v="No Coupon"/>
  </r>
  <r>
    <x v="742"/>
    <x v="519"/>
    <s v="C41974"/>
    <x v="5"/>
    <n v="3"/>
    <n v="699.93"/>
    <s v="726 Main St"/>
    <x v="4"/>
    <x v="2"/>
    <s v="TRK48051468"/>
    <n v="7"/>
    <s v="SAVE10"/>
    <x v="4"/>
    <x v="741"/>
    <s v="SAVE10"/>
  </r>
  <r>
    <x v="743"/>
    <x v="430"/>
    <s v="C23978"/>
    <x v="0"/>
    <n v="1"/>
    <n v="576.35"/>
    <s v="549 Main St"/>
    <x v="3"/>
    <x v="2"/>
    <s v="TRK87090813"/>
    <n v="1"/>
    <s v="WINTER15"/>
    <x v="0"/>
    <x v="742"/>
    <s v="WINTER15"/>
  </r>
  <r>
    <x v="744"/>
    <x v="520"/>
    <s v="C10642"/>
    <x v="2"/>
    <n v="2"/>
    <n v="461.37"/>
    <s v="200 Main St"/>
    <x v="4"/>
    <x v="3"/>
    <s v="TRK98725693"/>
    <n v="5"/>
    <s v="SAVE10"/>
    <x v="4"/>
    <x v="743"/>
    <s v="SAVE10"/>
  </r>
  <r>
    <x v="745"/>
    <x v="521"/>
    <s v="C73813"/>
    <x v="4"/>
    <n v="4"/>
    <n v="111.3"/>
    <s v="364 Main St"/>
    <x v="0"/>
    <x v="4"/>
    <s v="TRK89906749"/>
    <n v="7"/>
    <s v="FREESHIP"/>
    <x v="2"/>
    <x v="744"/>
    <s v="FREESHIP"/>
  </r>
  <r>
    <x v="746"/>
    <x v="522"/>
    <s v="C32183"/>
    <x v="6"/>
    <n v="3"/>
    <n v="661.89"/>
    <s v="551 Main St"/>
    <x v="1"/>
    <x v="1"/>
    <s v="TRK76287027"/>
    <n v="6"/>
    <s v="WINTER15"/>
    <x v="1"/>
    <x v="745"/>
    <s v="WINTER15"/>
  </r>
  <r>
    <x v="747"/>
    <x v="495"/>
    <s v="C54277"/>
    <x v="2"/>
    <n v="2"/>
    <n v="259.58"/>
    <s v="940 Main St"/>
    <x v="0"/>
    <x v="3"/>
    <s v="TRK26500181"/>
    <n v="7"/>
    <s v="FREESHIP"/>
    <x v="0"/>
    <x v="746"/>
    <s v="FREESHIP"/>
  </r>
  <r>
    <x v="748"/>
    <x v="523"/>
    <s v="C56553"/>
    <x v="2"/>
    <n v="3"/>
    <n v="70.81"/>
    <s v="249 Main St"/>
    <x v="2"/>
    <x v="0"/>
    <s v="TRK37667360"/>
    <n v="8"/>
    <s v="FREESHIP"/>
    <x v="1"/>
    <x v="747"/>
    <s v="FREESHIP"/>
  </r>
  <r>
    <x v="749"/>
    <x v="524"/>
    <s v="C17551"/>
    <x v="5"/>
    <n v="1"/>
    <n v="518.39"/>
    <s v="997 Main St"/>
    <x v="0"/>
    <x v="4"/>
    <s v="TRK88797170"/>
    <n v="4"/>
    <s v="FREESHIP"/>
    <x v="0"/>
    <x v="748"/>
    <s v="FREESHIP"/>
  </r>
  <r>
    <x v="750"/>
    <x v="90"/>
    <s v="C14737"/>
    <x v="2"/>
    <n v="4"/>
    <n v="145.41"/>
    <s v="637 Main St"/>
    <x v="2"/>
    <x v="2"/>
    <s v="TRK10295115"/>
    <n v="7"/>
    <s v="FREESHIP"/>
    <x v="2"/>
    <x v="749"/>
    <s v="FREESHIP"/>
  </r>
  <r>
    <x v="751"/>
    <x v="16"/>
    <s v="C35168"/>
    <x v="2"/>
    <n v="2"/>
    <n v="599.86"/>
    <s v="455 Main St"/>
    <x v="3"/>
    <x v="4"/>
    <s v="TRK76960854"/>
    <n v="7"/>
    <s v="FREESHIP"/>
    <x v="3"/>
    <x v="750"/>
    <s v="FREESHIP"/>
  </r>
  <r>
    <x v="752"/>
    <x v="525"/>
    <s v="C82217"/>
    <x v="1"/>
    <n v="4"/>
    <n v="429.37"/>
    <s v="299 Main St"/>
    <x v="2"/>
    <x v="3"/>
    <s v="TRK33305694"/>
    <n v="8"/>
    <s v="FREESHIP"/>
    <x v="4"/>
    <x v="751"/>
    <s v="FREESHIP"/>
  </r>
  <r>
    <x v="753"/>
    <x v="526"/>
    <s v="C42270"/>
    <x v="1"/>
    <n v="2"/>
    <n v="241.49"/>
    <s v="864 Main St"/>
    <x v="0"/>
    <x v="2"/>
    <s v="TRK72697796"/>
    <n v="7"/>
    <s v="FREESHIP"/>
    <x v="0"/>
    <x v="752"/>
    <s v="FREESHIP"/>
  </r>
  <r>
    <x v="754"/>
    <x v="133"/>
    <s v="C48846"/>
    <x v="4"/>
    <n v="2"/>
    <n v="452.05"/>
    <s v="983 Main St"/>
    <x v="2"/>
    <x v="2"/>
    <s v="TRK52804097"/>
    <n v="3"/>
    <s v="WINTER15"/>
    <x v="2"/>
    <x v="753"/>
    <s v="WINTER15"/>
  </r>
  <r>
    <x v="755"/>
    <x v="527"/>
    <s v="C54160"/>
    <x v="6"/>
    <n v="3"/>
    <n v="336.71"/>
    <s v="658 Main St"/>
    <x v="2"/>
    <x v="4"/>
    <s v="TRK60515972"/>
    <n v="4"/>
    <m/>
    <x v="2"/>
    <x v="754"/>
    <s v="No Coupon"/>
  </r>
  <r>
    <x v="756"/>
    <x v="326"/>
    <s v="C14080"/>
    <x v="1"/>
    <n v="1"/>
    <n v="283.69"/>
    <s v="202 Main St"/>
    <x v="3"/>
    <x v="0"/>
    <s v="TRK93163682"/>
    <n v="6"/>
    <m/>
    <x v="4"/>
    <x v="755"/>
    <s v="No Coupon"/>
  </r>
  <r>
    <x v="757"/>
    <x v="27"/>
    <s v="C81074"/>
    <x v="6"/>
    <n v="1"/>
    <n v="157.72"/>
    <s v="597 Main St"/>
    <x v="0"/>
    <x v="3"/>
    <s v="TRK91105190"/>
    <n v="2"/>
    <s v="FREESHIP"/>
    <x v="4"/>
    <x v="756"/>
    <s v="FREESHIP"/>
  </r>
  <r>
    <x v="758"/>
    <x v="465"/>
    <s v="C69021"/>
    <x v="2"/>
    <n v="3"/>
    <n v="624.84"/>
    <s v="917 Main St"/>
    <x v="2"/>
    <x v="1"/>
    <s v="TRK57148510"/>
    <n v="8"/>
    <s v="WINTER15"/>
    <x v="3"/>
    <x v="757"/>
    <s v="WINTER15"/>
  </r>
  <r>
    <x v="759"/>
    <x v="528"/>
    <s v="C96283"/>
    <x v="6"/>
    <n v="3"/>
    <n v="308.01"/>
    <s v="366 Main St"/>
    <x v="4"/>
    <x v="4"/>
    <s v="TRK91784124"/>
    <n v="3"/>
    <s v="FREESHIP"/>
    <x v="3"/>
    <x v="758"/>
    <s v="FREESHIP"/>
  </r>
  <r>
    <x v="760"/>
    <x v="403"/>
    <s v="C96636"/>
    <x v="6"/>
    <n v="1"/>
    <n v="39.56"/>
    <s v="283 Main St"/>
    <x v="0"/>
    <x v="1"/>
    <s v="TRK73324346"/>
    <n v="5"/>
    <m/>
    <x v="4"/>
    <x v="759"/>
    <s v="No Coupon"/>
  </r>
  <r>
    <x v="761"/>
    <x v="454"/>
    <s v="C37235"/>
    <x v="6"/>
    <n v="4"/>
    <n v="37.76"/>
    <s v="217 Main St"/>
    <x v="0"/>
    <x v="3"/>
    <s v="TRK67789367"/>
    <n v="7"/>
    <m/>
    <x v="4"/>
    <x v="760"/>
    <s v="No Coupon"/>
  </r>
  <r>
    <x v="762"/>
    <x v="529"/>
    <s v="C12444"/>
    <x v="1"/>
    <n v="3"/>
    <n v="76.959999999999994"/>
    <s v="611 Main St"/>
    <x v="4"/>
    <x v="2"/>
    <s v="TRK97621403"/>
    <n v="8"/>
    <s v="FREESHIP"/>
    <x v="2"/>
    <x v="761"/>
    <s v="FREESHIP"/>
  </r>
  <r>
    <x v="763"/>
    <x v="388"/>
    <s v="C79142"/>
    <x v="5"/>
    <n v="1"/>
    <n v="569.96"/>
    <s v="533 Main St"/>
    <x v="1"/>
    <x v="3"/>
    <s v="TRK30915955"/>
    <n v="4"/>
    <s v="FREESHIP"/>
    <x v="2"/>
    <x v="762"/>
    <s v="FREESHIP"/>
  </r>
  <r>
    <x v="764"/>
    <x v="416"/>
    <s v="C35983"/>
    <x v="5"/>
    <n v="5"/>
    <n v="627.42999999999995"/>
    <s v="806 Main St"/>
    <x v="2"/>
    <x v="1"/>
    <s v="TRK14016163"/>
    <n v="10"/>
    <s v="FREESHIP"/>
    <x v="2"/>
    <x v="763"/>
    <s v="FREESHIP"/>
  </r>
  <r>
    <x v="765"/>
    <x v="426"/>
    <s v="C36150"/>
    <x v="5"/>
    <n v="2"/>
    <n v="534.91"/>
    <s v="281 Main St"/>
    <x v="0"/>
    <x v="2"/>
    <s v="TRK96249043"/>
    <n v="5"/>
    <s v="SAVE10"/>
    <x v="4"/>
    <x v="764"/>
    <s v="SAVE10"/>
  </r>
  <r>
    <x v="766"/>
    <x v="55"/>
    <s v="C91454"/>
    <x v="4"/>
    <n v="2"/>
    <n v="278.88"/>
    <s v="494 Main St"/>
    <x v="0"/>
    <x v="4"/>
    <s v="TRK99985340"/>
    <n v="3"/>
    <s v="FREESHIP"/>
    <x v="1"/>
    <x v="765"/>
    <s v="FREESHIP"/>
  </r>
  <r>
    <x v="767"/>
    <x v="479"/>
    <s v="C19368"/>
    <x v="2"/>
    <n v="2"/>
    <n v="323.22000000000003"/>
    <s v="517 Main St"/>
    <x v="2"/>
    <x v="3"/>
    <s v="TRK80436037"/>
    <n v="7"/>
    <m/>
    <x v="0"/>
    <x v="766"/>
    <s v="No Coupon"/>
  </r>
  <r>
    <x v="768"/>
    <x v="355"/>
    <s v="C35987"/>
    <x v="2"/>
    <n v="5"/>
    <n v="653.46"/>
    <s v="165 Main St"/>
    <x v="4"/>
    <x v="1"/>
    <s v="TRK28918815"/>
    <n v="9"/>
    <s v="WINTER15"/>
    <x v="2"/>
    <x v="767"/>
    <s v="WINTER15"/>
  </r>
  <r>
    <x v="769"/>
    <x v="117"/>
    <s v="C13366"/>
    <x v="4"/>
    <n v="4"/>
    <n v="678.55"/>
    <s v="568 Main St"/>
    <x v="4"/>
    <x v="3"/>
    <s v="TRK98691410"/>
    <n v="5"/>
    <m/>
    <x v="2"/>
    <x v="768"/>
    <s v="No Coupon"/>
  </r>
  <r>
    <x v="770"/>
    <x v="530"/>
    <s v="C72166"/>
    <x v="6"/>
    <n v="1"/>
    <n v="314.38"/>
    <s v="227 Main St"/>
    <x v="1"/>
    <x v="2"/>
    <s v="TRK67733444"/>
    <n v="6"/>
    <m/>
    <x v="4"/>
    <x v="769"/>
    <s v="No Coupon"/>
  </r>
  <r>
    <x v="771"/>
    <x v="520"/>
    <s v="C20357"/>
    <x v="1"/>
    <n v="3"/>
    <n v="692.44"/>
    <s v="272 Main St"/>
    <x v="0"/>
    <x v="1"/>
    <s v="TRK82236408"/>
    <n v="8"/>
    <s v="FREESHIP"/>
    <x v="4"/>
    <x v="770"/>
    <s v="FREESHIP"/>
  </r>
  <r>
    <x v="772"/>
    <x v="118"/>
    <s v="C33802"/>
    <x v="0"/>
    <n v="1"/>
    <n v="604.87"/>
    <s v="461 Main St"/>
    <x v="1"/>
    <x v="3"/>
    <s v="TRK25799478"/>
    <n v="4"/>
    <m/>
    <x v="0"/>
    <x v="771"/>
    <s v="No Coupon"/>
  </r>
  <r>
    <x v="773"/>
    <x v="164"/>
    <s v="C99205"/>
    <x v="1"/>
    <n v="2"/>
    <n v="512.33000000000004"/>
    <s v="415 Main St"/>
    <x v="4"/>
    <x v="1"/>
    <s v="TRK48904015"/>
    <n v="7"/>
    <m/>
    <x v="3"/>
    <x v="772"/>
    <s v="No Coupon"/>
  </r>
  <r>
    <x v="774"/>
    <x v="198"/>
    <s v="C29701"/>
    <x v="3"/>
    <n v="3"/>
    <n v="20.54"/>
    <s v="257 Main St"/>
    <x v="2"/>
    <x v="1"/>
    <s v="TRK42266846"/>
    <n v="3"/>
    <s v="FREESHIP"/>
    <x v="0"/>
    <x v="773"/>
    <s v="FREESHIP"/>
  </r>
  <r>
    <x v="775"/>
    <x v="190"/>
    <s v="C73941"/>
    <x v="1"/>
    <n v="2"/>
    <n v="625.22"/>
    <s v="569 Main St"/>
    <x v="1"/>
    <x v="1"/>
    <s v="TRK22051900"/>
    <n v="5"/>
    <m/>
    <x v="4"/>
    <x v="774"/>
    <s v="No Coupon"/>
  </r>
  <r>
    <x v="776"/>
    <x v="531"/>
    <s v="C69168"/>
    <x v="2"/>
    <n v="1"/>
    <n v="21.19"/>
    <s v="482 Main St"/>
    <x v="4"/>
    <x v="2"/>
    <s v="TRK10446197"/>
    <n v="5"/>
    <s v="WINTER15"/>
    <x v="4"/>
    <x v="775"/>
    <s v="WINTER15"/>
  </r>
  <r>
    <x v="777"/>
    <x v="438"/>
    <s v="C66116"/>
    <x v="3"/>
    <n v="5"/>
    <n v="64.489999999999995"/>
    <s v="633 Main St"/>
    <x v="1"/>
    <x v="1"/>
    <s v="TRK41967983"/>
    <n v="7"/>
    <m/>
    <x v="3"/>
    <x v="776"/>
    <s v="No Coupon"/>
  </r>
  <r>
    <x v="778"/>
    <x v="200"/>
    <s v="C85059"/>
    <x v="5"/>
    <n v="4"/>
    <n v="246.85"/>
    <s v="316 Main St"/>
    <x v="2"/>
    <x v="0"/>
    <s v="TRK56503740"/>
    <n v="8"/>
    <s v="WINTER15"/>
    <x v="4"/>
    <x v="777"/>
    <s v="WINTER15"/>
  </r>
  <r>
    <x v="779"/>
    <x v="142"/>
    <s v="C18076"/>
    <x v="1"/>
    <n v="3"/>
    <n v="588.74"/>
    <s v="751 Main St"/>
    <x v="0"/>
    <x v="4"/>
    <s v="TRK26661705"/>
    <n v="8"/>
    <s v="FREESHIP"/>
    <x v="2"/>
    <x v="778"/>
    <s v="FREESHIP"/>
  </r>
  <r>
    <x v="780"/>
    <x v="74"/>
    <s v="C41284"/>
    <x v="5"/>
    <n v="4"/>
    <n v="184.48"/>
    <s v="661 Main St"/>
    <x v="1"/>
    <x v="1"/>
    <s v="TRK73613128"/>
    <n v="4"/>
    <s v="WINTER15"/>
    <x v="4"/>
    <x v="779"/>
    <s v="WINTER15"/>
  </r>
  <r>
    <x v="781"/>
    <x v="532"/>
    <s v="C43524"/>
    <x v="1"/>
    <n v="5"/>
    <n v="524.26"/>
    <s v="934 Main St"/>
    <x v="3"/>
    <x v="3"/>
    <s v="TRK51479426"/>
    <n v="5"/>
    <s v="FREESHIP"/>
    <x v="1"/>
    <x v="780"/>
    <s v="FREESHIP"/>
  </r>
  <r>
    <x v="782"/>
    <x v="533"/>
    <s v="C58063"/>
    <x v="0"/>
    <n v="2"/>
    <n v="493.63"/>
    <s v="167 Main St"/>
    <x v="1"/>
    <x v="2"/>
    <s v="TRK50548869"/>
    <n v="6"/>
    <s v="SAVE10"/>
    <x v="1"/>
    <x v="781"/>
    <s v="SAVE10"/>
  </r>
  <r>
    <x v="783"/>
    <x v="534"/>
    <s v="C19937"/>
    <x v="4"/>
    <n v="1"/>
    <n v="438.34"/>
    <s v="281 Main St"/>
    <x v="3"/>
    <x v="2"/>
    <s v="TRK46990083"/>
    <n v="5"/>
    <s v="FREESHIP"/>
    <x v="3"/>
    <x v="782"/>
    <s v="FREESHIP"/>
  </r>
  <r>
    <x v="784"/>
    <x v="535"/>
    <s v="C21191"/>
    <x v="5"/>
    <n v="1"/>
    <n v="325.81"/>
    <s v="232 Main St"/>
    <x v="2"/>
    <x v="4"/>
    <s v="TRK85771230"/>
    <n v="1"/>
    <s v="WINTER15"/>
    <x v="1"/>
    <x v="783"/>
    <s v="WINTER15"/>
  </r>
  <r>
    <x v="785"/>
    <x v="536"/>
    <s v="C45862"/>
    <x v="3"/>
    <n v="1"/>
    <n v="176.1"/>
    <s v="342 Main St"/>
    <x v="2"/>
    <x v="4"/>
    <s v="TRK53089983"/>
    <n v="1"/>
    <s v="SAVE10"/>
    <x v="0"/>
    <x v="784"/>
    <s v="SAVE10"/>
  </r>
  <r>
    <x v="786"/>
    <x v="421"/>
    <s v="C39130"/>
    <x v="3"/>
    <n v="5"/>
    <n v="45.31"/>
    <s v="774 Main St"/>
    <x v="1"/>
    <x v="1"/>
    <s v="TRK99583414"/>
    <n v="8"/>
    <m/>
    <x v="1"/>
    <x v="785"/>
    <s v="No Coupon"/>
  </r>
  <r>
    <x v="787"/>
    <x v="537"/>
    <s v="C18167"/>
    <x v="6"/>
    <n v="4"/>
    <n v="221.96"/>
    <s v="193 Main St"/>
    <x v="4"/>
    <x v="3"/>
    <s v="TRK36841089"/>
    <n v="7"/>
    <m/>
    <x v="4"/>
    <x v="786"/>
    <s v="No Coupon"/>
  </r>
  <r>
    <x v="788"/>
    <x v="208"/>
    <s v="C47307"/>
    <x v="3"/>
    <n v="2"/>
    <n v="601.42999999999995"/>
    <s v="761 Main St"/>
    <x v="1"/>
    <x v="4"/>
    <s v="TRK43516112"/>
    <n v="5"/>
    <s v="FREESHIP"/>
    <x v="0"/>
    <x v="787"/>
    <s v="FREESHIP"/>
  </r>
  <r>
    <x v="789"/>
    <x v="538"/>
    <s v="C57276"/>
    <x v="2"/>
    <n v="5"/>
    <n v="691.28"/>
    <s v="183 Main St"/>
    <x v="1"/>
    <x v="3"/>
    <s v="TRK75899752"/>
    <n v="10"/>
    <s v="SAVE10"/>
    <x v="2"/>
    <x v="788"/>
    <s v="SAVE10"/>
  </r>
  <r>
    <x v="790"/>
    <x v="154"/>
    <s v="C38928"/>
    <x v="5"/>
    <n v="4"/>
    <n v="417.89"/>
    <s v="302 Main St"/>
    <x v="3"/>
    <x v="4"/>
    <s v="TRK96636009"/>
    <n v="4"/>
    <m/>
    <x v="4"/>
    <x v="789"/>
    <s v="No Coupon"/>
  </r>
  <r>
    <x v="791"/>
    <x v="539"/>
    <s v="C49710"/>
    <x v="3"/>
    <n v="4"/>
    <n v="409.28"/>
    <s v="956 Main St"/>
    <x v="4"/>
    <x v="4"/>
    <s v="TRK92591237"/>
    <n v="8"/>
    <m/>
    <x v="2"/>
    <x v="790"/>
    <s v="No Coupon"/>
  </r>
  <r>
    <x v="792"/>
    <x v="379"/>
    <s v="C41709"/>
    <x v="6"/>
    <n v="2"/>
    <n v="356.35"/>
    <s v="746 Main St"/>
    <x v="0"/>
    <x v="2"/>
    <s v="TRK90995294"/>
    <n v="6"/>
    <s v="WINTER15"/>
    <x v="3"/>
    <x v="791"/>
    <s v="WINTER15"/>
  </r>
  <r>
    <x v="793"/>
    <x v="116"/>
    <s v="C91255"/>
    <x v="3"/>
    <n v="5"/>
    <n v="170.22"/>
    <s v="769 Main St"/>
    <x v="0"/>
    <x v="3"/>
    <s v="TRK69599961"/>
    <n v="8"/>
    <m/>
    <x v="1"/>
    <x v="792"/>
    <s v="No Coupon"/>
  </r>
  <r>
    <x v="794"/>
    <x v="338"/>
    <s v="C76653"/>
    <x v="4"/>
    <n v="4"/>
    <n v="384.85"/>
    <s v="988 Main St"/>
    <x v="1"/>
    <x v="3"/>
    <s v="TRK77052196"/>
    <n v="9"/>
    <s v="FREESHIP"/>
    <x v="0"/>
    <x v="793"/>
    <s v="FREESHIP"/>
  </r>
  <r>
    <x v="795"/>
    <x v="540"/>
    <s v="C95667"/>
    <x v="5"/>
    <n v="4"/>
    <n v="115.77"/>
    <s v="586 Main St"/>
    <x v="1"/>
    <x v="4"/>
    <s v="TRK41266666"/>
    <n v="7"/>
    <s v="SAVE10"/>
    <x v="0"/>
    <x v="794"/>
    <s v="SAVE10"/>
  </r>
  <r>
    <x v="796"/>
    <x v="541"/>
    <s v="C33313"/>
    <x v="1"/>
    <n v="3"/>
    <n v="579.54999999999995"/>
    <s v="882 Main St"/>
    <x v="3"/>
    <x v="2"/>
    <s v="TRK13349970"/>
    <n v="8"/>
    <s v="WINTER15"/>
    <x v="3"/>
    <x v="795"/>
    <s v="WINTER15"/>
  </r>
  <r>
    <x v="797"/>
    <x v="146"/>
    <s v="C36825"/>
    <x v="5"/>
    <n v="2"/>
    <n v="438.76"/>
    <s v="426 Main St"/>
    <x v="0"/>
    <x v="2"/>
    <s v="TRK72557318"/>
    <n v="2"/>
    <m/>
    <x v="3"/>
    <x v="796"/>
    <s v="No Coupon"/>
  </r>
  <r>
    <x v="798"/>
    <x v="542"/>
    <s v="C20861"/>
    <x v="1"/>
    <n v="5"/>
    <n v="488.35"/>
    <s v="968 Main St"/>
    <x v="0"/>
    <x v="2"/>
    <s v="TRK89372013"/>
    <n v="9"/>
    <s v="FREESHIP"/>
    <x v="2"/>
    <x v="797"/>
    <s v="FREESHIP"/>
  </r>
  <r>
    <x v="799"/>
    <x v="397"/>
    <s v="C26364"/>
    <x v="5"/>
    <n v="4"/>
    <n v="328.56"/>
    <s v="803 Main St"/>
    <x v="0"/>
    <x v="2"/>
    <s v="TRK78924436"/>
    <n v="4"/>
    <s v="FREESHIP"/>
    <x v="2"/>
    <x v="798"/>
    <s v="FREESHIP"/>
  </r>
  <r>
    <x v="800"/>
    <x v="210"/>
    <s v="C34686"/>
    <x v="2"/>
    <n v="1"/>
    <n v="68.39"/>
    <s v="412 Main St"/>
    <x v="1"/>
    <x v="2"/>
    <s v="TRK99468332"/>
    <n v="3"/>
    <s v="WINTER15"/>
    <x v="3"/>
    <x v="799"/>
    <s v="WINTER15"/>
  </r>
  <r>
    <x v="801"/>
    <x v="71"/>
    <s v="C97593"/>
    <x v="4"/>
    <n v="4"/>
    <n v="595.62"/>
    <s v="738 Main St"/>
    <x v="0"/>
    <x v="4"/>
    <s v="TRK58443593"/>
    <n v="8"/>
    <s v="FREESHIP"/>
    <x v="3"/>
    <x v="800"/>
    <s v="FREESHIP"/>
  </r>
  <r>
    <x v="802"/>
    <x v="11"/>
    <s v="C84331"/>
    <x v="3"/>
    <n v="5"/>
    <n v="644.64"/>
    <s v="205 Main St"/>
    <x v="3"/>
    <x v="1"/>
    <s v="TRK34440714"/>
    <n v="6"/>
    <s v="FREESHIP"/>
    <x v="2"/>
    <x v="801"/>
    <s v="FREESHIP"/>
  </r>
  <r>
    <x v="803"/>
    <x v="38"/>
    <s v="C88775"/>
    <x v="0"/>
    <n v="5"/>
    <n v="397.81"/>
    <s v="223 Main St"/>
    <x v="0"/>
    <x v="2"/>
    <s v="TRK45098068"/>
    <n v="5"/>
    <s v="SAVE10"/>
    <x v="1"/>
    <x v="802"/>
    <s v="SAVE10"/>
  </r>
  <r>
    <x v="804"/>
    <x v="543"/>
    <s v="C76362"/>
    <x v="3"/>
    <n v="3"/>
    <n v="236.5"/>
    <s v="916 Main St"/>
    <x v="1"/>
    <x v="3"/>
    <s v="TRK11868618"/>
    <n v="8"/>
    <s v="FREESHIP"/>
    <x v="2"/>
    <x v="803"/>
    <s v="FREESHIP"/>
  </r>
  <r>
    <x v="805"/>
    <x v="12"/>
    <s v="C59278"/>
    <x v="5"/>
    <n v="5"/>
    <n v="472.01"/>
    <s v="178 Main St"/>
    <x v="3"/>
    <x v="1"/>
    <s v="TRK14590037"/>
    <n v="10"/>
    <s v="SAVE10"/>
    <x v="2"/>
    <x v="804"/>
    <s v="SAVE10"/>
  </r>
  <r>
    <x v="806"/>
    <x v="544"/>
    <s v="C55819"/>
    <x v="3"/>
    <n v="5"/>
    <n v="253.75"/>
    <s v="740 Main St"/>
    <x v="1"/>
    <x v="4"/>
    <s v="TRK13775054"/>
    <n v="9"/>
    <s v="WINTER15"/>
    <x v="0"/>
    <x v="805"/>
    <s v="WINTER15"/>
  </r>
  <r>
    <x v="807"/>
    <x v="337"/>
    <s v="C82344"/>
    <x v="0"/>
    <n v="3"/>
    <n v="676.21"/>
    <s v="260 Main St"/>
    <x v="1"/>
    <x v="3"/>
    <s v="TRK70957219"/>
    <n v="5"/>
    <s v="SAVE10"/>
    <x v="4"/>
    <x v="806"/>
    <s v="SAVE10"/>
  </r>
  <r>
    <x v="808"/>
    <x v="545"/>
    <s v="C65565"/>
    <x v="6"/>
    <n v="3"/>
    <n v="134.05000000000001"/>
    <s v="192 Main St"/>
    <x v="2"/>
    <x v="0"/>
    <s v="TRK80383756"/>
    <n v="3"/>
    <m/>
    <x v="4"/>
    <x v="807"/>
    <s v="No Coupon"/>
  </r>
  <r>
    <x v="809"/>
    <x v="398"/>
    <s v="C80416"/>
    <x v="6"/>
    <n v="5"/>
    <n v="217.43"/>
    <s v="752 Main St"/>
    <x v="0"/>
    <x v="0"/>
    <s v="TRK54385892"/>
    <n v="10"/>
    <s v="SAVE10"/>
    <x v="0"/>
    <x v="808"/>
    <s v="SAVE10"/>
  </r>
  <r>
    <x v="810"/>
    <x v="546"/>
    <s v="C23637"/>
    <x v="2"/>
    <n v="1"/>
    <n v="553.55999999999995"/>
    <s v="644 Main St"/>
    <x v="2"/>
    <x v="1"/>
    <s v="TRK16749863"/>
    <n v="5"/>
    <m/>
    <x v="1"/>
    <x v="809"/>
    <s v="No Coupon"/>
  </r>
  <r>
    <x v="811"/>
    <x v="212"/>
    <s v="C24769"/>
    <x v="5"/>
    <n v="2"/>
    <n v="28.55"/>
    <s v="864 Main St"/>
    <x v="3"/>
    <x v="0"/>
    <s v="TRK44538305"/>
    <n v="7"/>
    <s v="SAVE10"/>
    <x v="2"/>
    <x v="810"/>
    <s v="SAVE10"/>
  </r>
  <r>
    <x v="812"/>
    <x v="547"/>
    <s v="C81547"/>
    <x v="1"/>
    <n v="2"/>
    <n v="255.26"/>
    <s v="803 Main St"/>
    <x v="2"/>
    <x v="1"/>
    <s v="TRK88437123"/>
    <n v="6"/>
    <s v="FREESHIP"/>
    <x v="4"/>
    <x v="811"/>
    <s v="FREESHIP"/>
  </r>
  <r>
    <x v="813"/>
    <x v="175"/>
    <s v="C12813"/>
    <x v="5"/>
    <n v="5"/>
    <n v="292.54000000000002"/>
    <s v="263 Main St"/>
    <x v="0"/>
    <x v="1"/>
    <s v="TRK36131660"/>
    <n v="8"/>
    <s v="FREESHIP"/>
    <x v="2"/>
    <x v="812"/>
    <s v="FREESHIP"/>
  </r>
  <r>
    <x v="814"/>
    <x v="218"/>
    <s v="C50732"/>
    <x v="3"/>
    <n v="4"/>
    <n v="147.51"/>
    <s v="979 Main St"/>
    <x v="0"/>
    <x v="4"/>
    <s v="TRK21082461"/>
    <n v="4"/>
    <s v="WINTER15"/>
    <x v="0"/>
    <x v="813"/>
    <s v="WINTER15"/>
  </r>
  <r>
    <x v="815"/>
    <x v="548"/>
    <s v="C41320"/>
    <x v="4"/>
    <n v="3"/>
    <n v="569.84"/>
    <s v="920 Main St"/>
    <x v="3"/>
    <x v="1"/>
    <s v="TRK77539180"/>
    <n v="8"/>
    <s v="WINTER15"/>
    <x v="0"/>
    <x v="814"/>
    <s v="WINTER15"/>
  </r>
  <r>
    <x v="816"/>
    <x v="444"/>
    <s v="C55286"/>
    <x v="2"/>
    <n v="5"/>
    <n v="574.79"/>
    <s v="497 Main St"/>
    <x v="2"/>
    <x v="4"/>
    <s v="TRK39058734"/>
    <n v="8"/>
    <s v="WINTER15"/>
    <x v="1"/>
    <x v="815"/>
    <s v="WINTER15"/>
  </r>
  <r>
    <x v="817"/>
    <x v="469"/>
    <s v="C87994"/>
    <x v="3"/>
    <n v="4"/>
    <n v="598.19000000000005"/>
    <s v="430 Main St"/>
    <x v="2"/>
    <x v="3"/>
    <s v="TRK98883971"/>
    <n v="7"/>
    <s v="WINTER15"/>
    <x v="2"/>
    <x v="816"/>
    <s v="WINTER15"/>
  </r>
  <r>
    <x v="818"/>
    <x v="521"/>
    <s v="C25580"/>
    <x v="1"/>
    <n v="4"/>
    <n v="390.84"/>
    <s v="860 Main St"/>
    <x v="2"/>
    <x v="1"/>
    <s v="TRK58781638"/>
    <n v="9"/>
    <s v="WINTER15"/>
    <x v="1"/>
    <x v="817"/>
    <s v="WINTER15"/>
  </r>
  <r>
    <x v="819"/>
    <x v="335"/>
    <s v="C66196"/>
    <x v="1"/>
    <n v="2"/>
    <n v="398.45"/>
    <s v="650 Main St"/>
    <x v="0"/>
    <x v="1"/>
    <s v="TRK38104650"/>
    <n v="7"/>
    <s v="SAVE10"/>
    <x v="4"/>
    <x v="818"/>
    <s v="SAVE10"/>
  </r>
  <r>
    <x v="820"/>
    <x v="156"/>
    <s v="C35377"/>
    <x v="1"/>
    <n v="5"/>
    <n v="623.80999999999995"/>
    <s v="171 Main St"/>
    <x v="4"/>
    <x v="2"/>
    <s v="TRK17342157"/>
    <n v="6"/>
    <s v="FREESHIP"/>
    <x v="2"/>
    <x v="819"/>
    <s v="FREESHIP"/>
  </r>
  <r>
    <x v="821"/>
    <x v="549"/>
    <s v="C40771"/>
    <x v="5"/>
    <n v="4"/>
    <n v="174.49"/>
    <s v="259 Main St"/>
    <x v="2"/>
    <x v="3"/>
    <s v="TRK56310345"/>
    <n v="5"/>
    <s v="SAVE10"/>
    <x v="3"/>
    <x v="820"/>
    <s v="SAVE10"/>
  </r>
  <r>
    <x v="822"/>
    <x v="175"/>
    <s v="C20624"/>
    <x v="1"/>
    <n v="1"/>
    <n v="479.56"/>
    <s v="923 Main St"/>
    <x v="3"/>
    <x v="2"/>
    <s v="TRK45123395"/>
    <n v="1"/>
    <s v="SAVE10"/>
    <x v="4"/>
    <x v="821"/>
    <s v="SAVE10"/>
  </r>
  <r>
    <x v="823"/>
    <x v="550"/>
    <s v="C27070"/>
    <x v="5"/>
    <n v="4"/>
    <n v="653.13"/>
    <s v="973 Main St"/>
    <x v="2"/>
    <x v="0"/>
    <s v="TRK83842481"/>
    <n v="8"/>
    <s v="WINTER15"/>
    <x v="0"/>
    <x v="822"/>
    <s v="WINTER15"/>
  </r>
  <r>
    <x v="824"/>
    <x v="193"/>
    <s v="C18826"/>
    <x v="0"/>
    <n v="3"/>
    <n v="481.1"/>
    <s v="664 Main St"/>
    <x v="2"/>
    <x v="2"/>
    <s v="TRK12530495"/>
    <n v="3"/>
    <s v="FREESHIP"/>
    <x v="3"/>
    <x v="823"/>
    <s v="FREESHIP"/>
  </r>
  <r>
    <x v="825"/>
    <x v="18"/>
    <s v="C23899"/>
    <x v="6"/>
    <n v="5"/>
    <n v="271.69"/>
    <s v="543 Main St"/>
    <x v="1"/>
    <x v="2"/>
    <s v="TRK88914760"/>
    <n v="7"/>
    <s v="FREESHIP"/>
    <x v="0"/>
    <x v="824"/>
    <s v="FREESHIP"/>
  </r>
  <r>
    <x v="826"/>
    <x v="177"/>
    <s v="C43249"/>
    <x v="4"/>
    <n v="3"/>
    <n v="463.81"/>
    <s v="283 Main St"/>
    <x v="1"/>
    <x v="2"/>
    <s v="TRK32469820"/>
    <n v="8"/>
    <s v="WINTER15"/>
    <x v="2"/>
    <x v="825"/>
    <s v="WINTER15"/>
  </r>
  <r>
    <x v="827"/>
    <x v="551"/>
    <s v="C95856"/>
    <x v="2"/>
    <n v="2"/>
    <n v="639.88"/>
    <s v="432 Main St"/>
    <x v="4"/>
    <x v="3"/>
    <s v="TRK58829625"/>
    <n v="5"/>
    <s v="WINTER15"/>
    <x v="0"/>
    <x v="826"/>
    <s v="WINTER15"/>
  </r>
  <r>
    <x v="828"/>
    <x v="25"/>
    <s v="C86266"/>
    <x v="3"/>
    <n v="4"/>
    <n v="404.58"/>
    <s v="510 Main St"/>
    <x v="4"/>
    <x v="0"/>
    <s v="TRK64576020"/>
    <n v="5"/>
    <s v="FREESHIP"/>
    <x v="0"/>
    <x v="827"/>
    <s v="FREESHIP"/>
  </r>
  <r>
    <x v="829"/>
    <x v="483"/>
    <s v="C39551"/>
    <x v="0"/>
    <n v="1"/>
    <n v="76.930000000000007"/>
    <s v="685 Main St"/>
    <x v="0"/>
    <x v="3"/>
    <s v="TRK68358007"/>
    <n v="6"/>
    <s v="WINTER15"/>
    <x v="0"/>
    <x v="828"/>
    <s v="WINTER15"/>
  </r>
  <r>
    <x v="830"/>
    <x v="218"/>
    <s v="C90310"/>
    <x v="2"/>
    <n v="4"/>
    <n v="190.64"/>
    <s v="853 Main St"/>
    <x v="4"/>
    <x v="3"/>
    <s v="TRK70028457"/>
    <n v="5"/>
    <s v="SAVE10"/>
    <x v="2"/>
    <x v="829"/>
    <s v="SAVE10"/>
  </r>
  <r>
    <x v="831"/>
    <x v="552"/>
    <s v="C20124"/>
    <x v="4"/>
    <n v="2"/>
    <n v="88.73"/>
    <s v="140 Main St"/>
    <x v="1"/>
    <x v="4"/>
    <s v="TRK61346824"/>
    <n v="5"/>
    <m/>
    <x v="4"/>
    <x v="830"/>
    <s v="No Coupon"/>
  </r>
  <r>
    <x v="832"/>
    <x v="553"/>
    <s v="C63372"/>
    <x v="3"/>
    <n v="5"/>
    <n v="485.71"/>
    <s v="903 Main St"/>
    <x v="1"/>
    <x v="4"/>
    <s v="TRK14661811"/>
    <n v="10"/>
    <s v="SAVE10"/>
    <x v="1"/>
    <x v="831"/>
    <s v="SAVE10"/>
  </r>
  <r>
    <x v="833"/>
    <x v="387"/>
    <s v="C90595"/>
    <x v="1"/>
    <n v="5"/>
    <n v="78.290000000000006"/>
    <s v="508 Main St"/>
    <x v="2"/>
    <x v="0"/>
    <s v="TRK96573803"/>
    <n v="5"/>
    <s v="WINTER15"/>
    <x v="1"/>
    <x v="832"/>
    <s v="WINTER15"/>
  </r>
  <r>
    <x v="834"/>
    <x v="166"/>
    <s v="C98483"/>
    <x v="4"/>
    <n v="5"/>
    <n v="22.14"/>
    <s v="456 Main St"/>
    <x v="4"/>
    <x v="2"/>
    <s v="TRK22084320"/>
    <n v="10"/>
    <m/>
    <x v="0"/>
    <x v="833"/>
    <s v="No Coupon"/>
  </r>
  <r>
    <x v="835"/>
    <x v="290"/>
    <s v="C16429"/>
    <x v="6"/>
    <n v="1"/>
    <n v="679.65"/>
    <s v="390 Main St"/>
    <x v="0"/>
    <x v="0"/>
    <s v="TRK73888013"/>
    <n v="6"/>
    <s v="FREESHIP"/>
    <x v="4"/>
    <x v="834"/>
    <s v="FREESHIP"/>
  </r>
  <r>
    <x v="836"/>
    <x v="488"/>
    <s v="C31810"/>
    <x v="1"/>
    <n v="1"/>
    <n v="178.44"/>
    <s v="328 Main St"/>
    <x v="2"/>
    <x v="1"/>
    <s v="TRK58725886"/>
    <n v="2"/>
    <s v="FREESHIP"/>
    <x v="4"/>
    <x v="835"/>
    <s v="FREESHIP"/>
  </r>
  <r>
    <x v="837"/>
    <x v="554"/>
    <s v="C88029"/>
    <x v="3"/>
    <n v="5"/>
    <n v="655.55"/>
    <s v="282 Main St"/>
    <x v="1"/>
    <x v="3"/>
    <s v="TRK59701278"/>
    <n v="5"/>
    <m/>
    <x v="2"/>
    <x v="836"/>
    <s v="No Coupon"/>
  </r>
  <r>
    <x v="838"/>
    <x v="166"/>
    <s v="C57798"/>
    <x v="6"/>
    <n v="4"/>
    <n v="577.08000000000004"/>
    <s v="384 Main St"/>
    <x v="1"/>
    <x v="4"/>
    <s v="TRK68797566"/>
    <n v="8"/>
    <m/>
    <x v="3"/>
    <x v="837"/>
    <s v="No Coupon"/>
  </r>
  <r>
    <x v="839"/>
    <x v="318"/>
    <s v="C82858"/>
    <x v="3"/>
    <n v="3"/>
    <n v="197.97"/>
    <s v="551 Main St"/>
    <x v="1"/>
    <x v="1"/>
    <s v="TRK90618490"/>
    <n v="5"/>
    <m/>
    <x v="4"/>
    <x v="838"/>
    <s v="No Coupon"/>
  </r>
  <r>
    <x v="840"/>
    <x v="555"/>
    <s v="C60699"/>
    <x v="3"/>
    <n v="3"/>
    <n v="411.95"/>
    <s v="672 Main St"/>
    <x v="2"/>
    <x v="3"/>
    <s v="TRK88660574"/>
    <n v="7"/>
    <s v="FREESHIP"/>
    <x v="1"/>
    <x v="839"/>
    <s v="FREESHIP"/>
  </r>
  <r>
    <x v="841"/>
    <x v="556"/>
    <s v="C94658"/>
    <x v="4"/>
    <n v="2"/>
    <n v="443.22"/>
    <s v="742 Main St"/>
    <x v="2"/>
    <x v="3"/>
    <s v="TRK51732528"/>
    <n v="5"/>
    <m/>
    <x v="3"/>
    <x v="840"/>
    <s v="No Coupon"/>
  </r>
  <r>
    <x v="842"/>
    <x v="106"/>
    <s v="C78305"/>
    <x v="5"/>
    <n v="3"/>
    <n v="364.14"/>
    <s v="396 Main St"/>
    <x v="1"/>
    <x v="4"/>
    <s v="TRK88312618"/>
    <n v="7"/>
    <s v="WINTER15"/>
    <x v="1"/>
    <x v="841"/>
    <s v="WINTER15"/>
  </r>
  <r>
    <x v="843"/>
    <x v="557"/>
    <s v="C43538"/>
    <x v="6"/>
    <n v="3"/>
    <n v="430.06"/>
    <s v="534 Main St"/>
    <x v="3"/>
    <x v="1"/>
    <s v="TRK20961563"/>
    <n v="8"/>
    <s v="FREESHIP"/>
    <x v="0"/>
    <x v="842"/>
    <s v="FREESHIP"/>
  </r>
  <r>
    <x v="844"/>
    <x v="558"/>
    <s v="C47486"/>
    <x v="3"/>
    <n v="1"/>
    <n v="320.92"/>
    <s v="883 Main St"/>
    <x v="1"/>
    <x v="2"/>
    <s v="TRK75984759"/>
    <n v="5"/>
    <s v="FREESHIP"/>
    <x v="3"/>
    <x v="843"/>
    <s v="FREESHIP"/>
  </r>
  <r>
    <x v="845"/>
    <x v="345"/>
    <s v="C24212"/>
    <x v="1"/>
    <n v="3"/>
    <n v="107.36"/>
    <s v="808 Main St"/>
    <x v="3"/>
    <x v="3"/>
    <s v="TRK68894675"/>
    <n v="5"/>
    <s v="FREESHIP"/>
    <x v="4"/>
    <x v="844"/>
    <s v="FREESHIP"/>
  </r>
  <r>
    <x v="846"/>
    <x v="502"/>
    <s v="C24765"/>
    <x v="6"/>
    <n v="2"/>
    <n v="359.86"/>
    <s v="646 Main St"/>
    <x v="0"/>
    <x v="1"/>
    <s v="TRK43977698"/>
    <n v="4"/>
    <m/>
    <x v="1"/>
    <x v="845"/>
    <s v="No Coupon"/>
  </r>
  <r>
    <x v="847"/>
    <x v="249"/>
    <s v="C48176"/>
    <x v="4"/>
    <n v="4"/>
    <n v="434.23"/>
    <s v="670 Main St"/>
    <x v="1"/>
    <x v="0"/>
    <s v="TRK90560300"/>
    <n v="8"/>
    <s v="FREESHIP"/>
    <x v="2"/>
    <x v="846"/>
    <s v="FREESHIP"/>
  </r>
  <r>
    <x v="848"/>
    <x v="107"/>
    <s v="C54675"/>
    <x v="3"/>
    <n v="2"/>
    <n v="645.85"/>
    <s v="634 Main St"/>
    <x v="1"/>
    <x v="0"/>
    <s v="TRK18049633"/>
    <n v="5"/>
    <m/>
    <x v="1"/>
    <x v="847"/>
    <s v="No Coupon"/>
  </r>
  <r>
    <x v="849"/>
    <x v="559"/>
    <s v="C16675"/>
    <x v="4"/>
    <n v="4"/>
    <n v="214.35"/>
    <s v="664 Main St"/>
    <x v="0"/>
    <x v="1"/>
    <s v="TRK12756945"/>
    <n v="7"/>
    <s v="WINTER15"/>
    <x v="1"/>
    <x v="848"/>
    <s v="WINTER15"/>
  </r>
  <r>
    <x v="850"/>
    <x v="560"/>
    <s v="C38557"/>
    <x v="0"/>
    <n v="3"/>
    <n v="638.5"/>
    <s v="890 Main St"/>
    <x v="0"/>
    <x v="1"/>
    <s v="TRK14832238"/>
    <n v="4"/>
    <s v="FREESHIP"/>
    <x v="0"/>
    <x v="849"/>
    <s v="FREESHIP"/>
  </r>
  <r>
    <x v="851"/>
    <x v="427"/>
    <s v="C80183"/>
    <x v="5"/>
    <n v="1"/>
    <n v="365.57"/>
    <s v="146 Main St"/>
    <x v="1"/>
    <x v="1"/>
    <s v="TRK20814598"/>
    <n v="5"/>
    <s v="SAVE10"/>
    <x v="2"/>
    <x v="850"/>
    <s v="SAVE10"/>
  </r>
  <r>
    <x v="852"/>
    <x v="101"/>
    <s v="C39530"/>
    <x v="6"/>
    <n v="3"/>
    <n v="568.04999999999995"/>
    <s v="618 Main St"/>
    <x v="3"/>
    <x v="4"/>
    <s v="TRK69000497"/>
    <n v="6"/>
    <s v="SAVE10"/>
    <x v="4"/>
    <x v="851"/>
    <s v="SAVE10"/>
  </r>
  <r>
    <x v="853"/>
    <x v="504"/>
    <s v="C10002"/>
    <x v="4"/>
    <n v="3"/>
    <n v="490.01"/>
    <s v="894 Main St"/>
    <x v="4"/>
    <x v="2"/>
    <s v="TRK94641152"/>
    <n v="4"/>
    <s v="SAVE10"/>
    <x v="3"/>
    <x v="852"/>
    <s v="SAVE10"/>
  </r>
  <r>
    <x v="854"/>
    <x v="399"/>
    <s v="C56938"/>
    <x v="5"/>
    <n v="3"/>
    <n v="372.6"/>
    <s v="356 Main St"/>
    <x v="2"/>
    <x v="3"/>
    <s v="TRK67735987"/>
    <n v="7"/>
    <s v="WINTER15"/>
    <x v="1"/>
    <x v="853"/>
    <s v="WINTER15"/>
  </r>
  <r>
    <x v="855"/>
    <x v="551"/>
    <s v="C41331"/>
    <x v="0"/>
    <n v="5"/>
    <n v="240.61"/>
    <s v="785 Main St"/>
    <x v="2"/>
    <x v="0"/>
    <s v="TRK94198179"/>
    <n v="10"/>
    <s v="FREESHIP"/>
    <x v="2"/>
    <x v="854"/>
    <s v="FREESHIP"/>
  </r>
  <r>
    <x v="856"/>
    <x v="561"/>
    <s v="C94698"/>
    <x v="1"/>
    <n v="1"/>
    <n v="586.62"/>
    <s v="871 Main St"/>
    <x v="0"/>
    <x v="0"/>
    <s v="TRK95768773"/>
    <n v="5"/>
    <m/>
    <x v="3"/>
    <x v="855"/>
    <s v="No Coupon"/>
  </r>
  <r>
    <x v="857"/>
    <x v="416"/>
    <s v="C56506"/>
    <x v="1"/>
    <n v="3"/>
    <n v="257.83999999999997"/>
    <s v="185 Main St"/>
    <x v="1"/>
    <x v="3"/>
    <s v="TRK86808324"/>
    <n v="4"/>
    <m/>
    <x v="0"/>
    <x v="856"/>
    <s v="No Coupon"/>
  </r>
  <r>
    <x v="858"/>
    <x v="38"/>
    <s v="C22167"/>
    <x v="2"/>
    <n v="5"/>
    <n v="435.66"/>
    <s v="891 Main St"/>
    <x v="1"/>
    <x v="4"/>
    <s v="TRK70269748"/>
    <n v="9"/>
    <m/>
    <x v="3"/>
    <x v="857"/>
    <s v="No Coupon"/>
  </r>
  <r>
    <x v="859"/>
    <x v="562"/>
    <s v="C11127"/>
    <x v="3"/>
    <n v="5"/>
    <n v="261.33"/>
    <s v="154 Main St"/>
    <x v="2"/>
    <x v="2"/>
    <s v="TRK73285507"/>
    <n v="5"/>
    <s v="SAVE10"/>
    <x v="1"/>
    <x v="858"/>
    <s v="SAVE10"/>
  </r>
  <r>
    <x v="860"/>
    <x v="514"/>
    <s v="C69542"/>
    <x v="4"/>
    <n v="1"/>
    <n v="422.54"/>
    <s v="876 Main St"/>
    <x v="4"/>
    <x v="3"/>
    <s v="TRK20746505"/>
    <n v="1"/>
    <s v="SAVE10"/>
    <x v="4"/>
    <x v="859"/>
    <s v="SAVE10"/>
  </r>
  <r>
    <x v="861"/>
    <x v="111"/>
    <s v="C93276"/>
    <x v="6"/>
    <n v="5"/>
    <n v="330.45"/>
    <s v="230 Main St"/>
    <x v="3"/>
    <x v="0"/>
    <s v="TRK44165913"/>
    <n v="10"/>
    <s v="FREESHIP"/>
    <x v="4"/>
    <x v="860"/>
    <s v="FREESHIP"/>
  </r>
  <r>
    <x v="862"/>
    <x v="278"/>
    <s v="C37969"/>
    <x v="6"/>
    <n v="3"/>
    <n v="120.82"/>
    <s v="799 Main St"/>
    <x v="2"/>
    <x v="0"/>
    <s v="TRK69852386"/>
    <n v="5"/>
    <s v="SAVE10"/>
    <x v="1"/>
    <x v="861"/>
    <s v="SAVE10"/>
  </r>
  <r>
    <x v="863"/>
    <x v="199"/>
    <s v="C98276"/>
    <x v="1"/>
    <n v="1"/>
    <n v="14.06"/>
    <s v="471 Main St"/>
    <x v="2"/>
    <x v="4"/>
    <s v="TRK74207282"/>
    <n v="5"/>
    <s v="SAVE10"/>
    <x v="1"/>
    <x v="862"/>
    <s v="SAVE10"/>
  </r>
  <r>
    <x v="864"/>
    <x v="71"/>
    <s v="C14240"/>
    <x v="6"/>
    <n v="1"/>
    <n v="491.11"/>
    <s v="592 Main St"/>
    <x v="2"/>
    <x v="3"/>
    <s v="TRK58095246"/>
    <n v="4"/>
    <s v="SAVE10"/>
    <x v="3"/>
    <x v="863"/>
    <s v="SAVE10"/>
  </r>
  <r>
    <x v="865"/>
    <x v="563"/>
    <s v="C72241"/>
    <x v="0"/>
    <n v="4"/>
    <n v="677.37"/>
    <s v="156 Main St"/>
    <x v="4"/>
    <x v="4"/>
    <s v="TRK76270481"/>
    <n v="8"/>
    <s v="SAVE10"/>
    <x v="4"/>
    <x v="864"/>
    <s v="SAVE10"/>
  </r>
  <r>
    <x v="866"/>
    <x v="503"/>
    <s v="C39664"/>
    <x v="6"/>
    <n v="5"/>
    <n v="189.25"/>
    <s v="693 Main St"/>
    <x v="0"/>
    <x v="1"/>
    <s v="TRK39917741"/>
    <n v="10"/>
    <s v="WINTER15"/>
    <x v="2"/>
    <x v="865"/>
    <s v="WINTER15"/>
  </r>
  <r>
    <x v="867"/>
    <x v="564"/>
    <s v="C53252"/>
    <x v="4"/>
    <n v="4"/>
    <n v="142.58000000000001"/>
    <s v="351 Main St"/>
    <x v="4"/>
    <x v="3"/>
    <s v="TRK65831261"/>
    <n v="4"/>
    <s v="FREESHIP"/>
    <x v="3"/>
    <x v="866"/>
    <s v="FREESHIP"/>
  </r>
  <r>
    <x v="868"/>
    <x v="310"/>
    <s v="C70452"/>
    <x v="0"/>
    <n v="4"/>
    <n v="316.32"/>
    <s v="309 Main St"/>
    <x v="0"/>
    <x v="3"/>
    <s v="TRK42985882"/>
    <n v="7"/>
    <m/>
    <x v="3"/>
    <x v="867"/>
    <s v="No Coupon"/>
  </r>
  <r>
    <x v="869"/>
    <x v="537"/>
    <s v="C29905"/>
    <x v="6"/>
    <n v="2"/>
    <n v="533.95000000000005"/>
    <s v="790 Main St"/>
    <x v="1"/>
    <x v="3"/>
    <s v="TRK16788127"/>
    <n v="5"/>
    <s v="WINTER15"/>
    <x v="4"/>
    <x v="868"/>
    <s v="WINTER15"/>
  </r>
  <r>
    <x v="870"/>
    <x v="565"/>
    <s v="C78725"/>
    <x v="1"/>
    <n v="4"/>
    <n v="470.09"/>
    <s v="541 Main St"/>
    <x v="0"/>
    <x v="3"/>
    <s v="TRK72001139"/>
    <n v="4"/>
    <s v="FREESHIP"/>
    <x v="4"/>
    <x v="869"/>
    <s v="FREESHIP"/>
  </r>
  <r>
    <x v="871"/>
    <x v="149"/>
    <s v="C93768"/>
    <x v="2"/>
    <n v="3"/>
    <n v="324.3"/>
    <s v="720 Main St"/>
    <x v="0"/>
    <x v="4"/>
    <s v="TRK22024707"/>
    <n v="8"/>
    <s v="FREESHIP"/>
    <x v="2"/>
    <x v="870"/>
    <s v="FREESHIP"/>
  </r>
  <r>
    <x v="872"/>
    <x v="566"/>
    <s v="C59169"/>
    <x v="3"/>
    <n v="4"/>
    <n v="629.34"/>
    <s v="172 Main St"/>
    <x v="4"/>
    <x v="0"/>
    <s v="TRK90883858"/>
    <n v="7"/>
    <m/>
    <x v="2"/>
    <x v="120"/>
    <s v="No Coupon"/>
  </r>
  <r>
    <x v="873"/>
    <x v="258"/>
    <s v="C53488"/>
    <x v="6"/>
    <n v="3"/>
    <n v="136.84"/>
    <s v="448 Main St"/>
    <x v="4"/>
    <x v="3"/>
    <s v="TRK27365050"/>
    <n v="3"/>
    <s v="SAVE10"/>
    <x v="3"/>
    <x v="502"/>
    <s v="SAVE10"/>
  </r>
  <r>
    <x v="874"/>
    <x v="150"/>
    <s v="C92180"/>
    <x v="3"/>
    <n v="2"/>
    <n v="488.9"/>
    <s v="632 Main St"/>
    <x v="4"/>
    <x v="3"/>
    <s v="TRK93315929"/>
    <n v="7"/>
    <s v="FREESHIP"/>
    <x v="3"/>
    <x v="871"/>
    <s v="FREESHIP"/>
  </r>
  <r>
    <x v="875"/>
    <x v="567"/>
    <s v="C25918"/>
    <x v="5"/>
    <n v="5"/>
    <n v="133.38999999999999"/>
    <s v="203 Main St"/>
    <x v="2"/>
    <x v="3"/>
    <s v="TRK66473392"/>
    <n v="6"/>
    <s v="FREESHIP"/>
    <x v="1"/>
    <x v="872"/>
    <s v="FREESHIP"/>
  </r>
  <r>
    <x v="876"/>
    <x v="410"/>
    <s v="C90363"/>
    <x v="3"/>
    <n v="5"/>
    <n v="608.91"/>
    <s v="200 Main St"/>
    <x v="3"/>
    <x v="4"/>
    <s v="TRK21534173"/>
    <n v="6"/>
    <s v="SAVE10"/>
    <x v="4"/>
    <x v="873"/>
    <s v="SAVE10"/>
  </r>
  <r>
    <x v="877"/>
    <x v="568"/>
    <s v="C43867"/>
    <x v="2"/>
    <n v="1"/>
    <n v="524.05999999999995"/>
    <s v="269 Main St"/>
    <x v="0"/>
    <x v="4"/>
    <s v="TRK97319127"/>
    <n v="3"/>
    <s v="FREESHIP"/>
    <x v="2"/>
    <x v="874"/>
    <s v="FREESHIP"/>
  </r>
  <r>
    <x v="878"/>
    <x v="569"/>
    <s v="C73873"/>
    <x v="6"/>
    <n v="2"/>
    <n v="330.69"/>
    <s v="393 Main St"/>
    <x v="1"/>
    <x v="1"/>
    <s v="TRK56423132"/>
    <n v="5"/>
    <s v="SAVE10"/>
    <x v="4"/>
    <x v="875"/>
    <s v="SAVE10"/>
  </r>
  <r>
    <x v="879"/>
    <x v="428"/>
    <s v="C56622"/>
    <x v="1"/>
    <n v="2"/>
    <n v="547.66999999999996"/>
    <s v="932 Main St"/>
    <x v="3"/>
    <x v="0"/>
    <s v="TRK86373987"/>
    <n v="3"/>
    <m/>
    <x v="0"/>
    <x v="876"/>
    <s v="No Coupon"/>
  </r>
  <r>
    <x v="880"/>
    <x v="495"/>
    <s v="C85074"/>
    <x v="5"/>
    <n v="4"/>
    <n v="233.7"/>
    <s v="506 Main St"/>
    <x v="1"/>
    <x v="0"/>
    <s v="TRK63133878"/>
    <n v="8"/>
    <s v="SAVE10"/>
    <x v="3"/>
    <x v="877"/>
    <s v="SAVE10"/>
  </r>
  <r>
    <x v="881"/>
    <x v="570"/>
    <s v="C59579"/>
    <x v="2"/>
    <n v="2"/>
    <n v="448.85"/>
    <s v="386 Main St"/>
    <x v="2"/>
    <x v="4"/>
    <s v="TRK48000034"/>
    <n v="6"/>
    <m/>
    <x v="0"/>
    <x v="878"/>
    <s v="No Coupon"/>
  </r>
  <r>
    <x v="882"/>
    <x v="164"/>
    <s v="C43335"/>
    <x v="1"/>
    <n v="2"/>
    <n v="274.12"/>
    <s v="533 Main St"/>
    <x v="4"/>
    <x v="3"/>
    <s v="TRK91848650"/>
    <n v="6"/>
    <s v="FREESHIP"/>
    <x v="1"/>
    <x v="879"/>
    <s v="FREESHIP"/>
  </r>
  <r>
    <x v="883"/>
    <x v="557"/>
    <s v="C43595"/>
    <x v="4"/>
    <n v="5"/>
    <n v="561.48"/>
    <s v="451 Main St"/>
    <x v="1"/>
    <x v="3"/>
    <s v="TRK25317348"/>
    <n v="9"/>
    <s v="FREESHIP"/>
    <x v="3"/>
    <x v="880"/>
    <s v="FREESHIP"/>
  </r>
  <r>
    <x v="884"/>
    <x v="571"/>
    <s v="C71471"/>
    <x v="3"/>
    <n v="1"/>
    <n v="595.54"/>
    <s v="817 Main St"/>
    <x v="3"/>
    <x v="0"/>
    <s v="TRK52137079"/>
    <n v="4"/>
    <m/>
    <x v="0"/>
    <x v="881"/>
    <s v="No Coupon"/>
  </r>
  <r>
    <x v="885"/>
    <x v="158"/>
    <s v="C61090"/>
    <x v="5"/>
    <n v="4"/>
    <n v="515.59"/>
    <s v="387 Main St"/>
    <x v="2"/>
    <x v="0"/>
    <s v="TRK36388962"/>
    <n v="7"/>
    <s v="FREESHIP"/>
    <x v="4"/>
    <x v="882"/>
    <s v="FREESHIP"/>
  </r>
  <r>
    <x v="886"/>
    <x v="385"/>
    <s v="C29620"/>
    <x v="1"/>
    <n v="1"/>
    <n v="460.13"/>
    <s v="792 Main St"/>
    <x v="2"/>
    <x v="2"/>
    <s v="TRK22046456"/>
    <n v="1"/>
    <m/>
    <x v="4"/>
    <x v="883"/>
    <s v="No Coupon"/>
  </r>
  <r>
    <x v="887"/>
    <x v="36"/>
    <s v="C67932"/>
    <x v="3"/>
    <n v="3"/>
    <n v="171.66"/>
    <s v="857 Main St"/>
    <x v="0"/>
    <x v="3"/>
    <s v="TRK88547534"/>
    <n v="7"/>
    <m/>
    <x v="4"/>
    <x v="884"/>
    <s v="No Coupon"/>
  </r>
  <r>
    <x v="888"/>
    <x v="572"/>
    <s v="C14427"/>
    <x v="5"/>
    <n v="2"/>
    <n v="266.95"/>
    <s v="833 Main St"/>
    <x v="2"/>
    <x v="4"/>
    <s v="TRK58024529"/>
    <n v="3"/>
    <m/>
    <x v="0"/>
    <x v="885"/>
    <s v="No Coupon"/>
  </r>
  <r>
    <x v="889"/>
    <x v="245"/>
    <s v="C36725"/>
    <x v="0"/>
    <n v="5"/>
    <n v="650.72"/>
    <s v="350 Main St"/>
    <x v="2"/>
    <x v="1"/>
    <s v="TRK16808790"/>
    <n v="8"/>
    <s v="WINTER15"/>
    <x v="2"/>
    <x v="886"/>
    <s v="WINTER15"/>
  </r>
  <r>
    <x v="890"/>
    <x v="178"/>
    <s v="C51921"/>
    <x v="5"/>
    <n v="3"/>
    <n v="439.53"/>
    <s v="943 Main St"/>
    <x v="0"/>
    <x v="4"/>
    <s v="TRK85741716"/>
    <n v="5"/>
    <m/>
    <x v="4"/>
    <x v="887"/>
    <s v="No Coupon"/>
  </r>
  <r>
    <x v="891"/>
    <x v="433"/>
    <s v="C36534"/>
    <x v="0"/>
    <n v="3"/>
    <n v="654.54"/>
    <s v="918 Main St"/>
    <x v="4"/>
    <x v="2"/>
    <s v="TRK38952138"/>
    <n v="7"/>
    <s v="SAVE10"/>
    <x v="1"/>
    <x v="888"/>
    <s v="SAVE10"/>
  </r>
  <r>
    <x v="892"/>
    <x v="573"/>
    <s v="C72043"/>
    <x v="6"/>
    <n v="1"/>
    <n v="394.53"/>
    <s v="480 Main St"/>
    <x v="4"/>
    <x v="0"/>
    <s v="TRK40896408"/>
    <n v="2"/>
    <s v="FREESHIP"/>
    <x v="1"/>
    <x v="889"/>
    <s v="FREESHIP"/>
  </r>
  <r>
    <x v="893"/>
    <x v="574"/>
    <s v="C99533"/>
    <x v="0"/>
    <n v="1"/>
    <n v="678.01"/>
    <s v="696 Main St"/>
    <x v="4"/>
    <x v="4"/>
    <s v="TRK55701253"/>
    <n v="4"/>
    <s v="FREESHIP"/>
    <x v="1"/>
    <x v="890"/>
    <s v="FREESHIP"/>
  </r>
  <r>
    <x v="894"/>
    <x v="575"/>
    <s v="C90852"/>
    <x v="2"/>
    <n v="3"/>
    <n v="575.01"/>
    <s v="852 Main St"/>
    <x v="1"/>
    <x v="1"/>
    <s v="TRK37551831"/>
    <n v="8"/>
    <s v="WINTER15"/>
    <x v="0"/>
    <x v="891"/>
    <s v="WINTER15"/>
  </r>
  <r>
    <x v="895"/>
    <x v="576"/>
    <s v="C81882"/>
    <x v="3"/>
    <n v="3"/>
    <n v="154.63999999999999"/>
    <s v="832 Main St"/>
    <x v="0"/>
    <x v="4"/>
    <s v="TRK62371264"/>
    <n v="6"/>
    <s v="WINTER15"/>
    <x v="3"/>
    <x v="892"/>
    <s v="WINTER15"/>
  </r>
  <r>
    <x v="896"/>
    <x v="266"/>
    <s v="C85466"/>
    <x v="6"/>
    <n v="3"/>
    <n v="147.29"/>
    <s v="102 Main St"/>
    <x v="3"/>
    <x v="0"/>
    <s v="TRK66764177"/>
    <n v="3"/>
    <s v="FREESHIP"/>
    <x v="4"/>
    <x v="893"/>
    <s v="FREESHIP"/>
  </r>
  <r>
    <x v="897"/>
    <x v="459"/>
    <s v="C87995"/>
    <x v="5"/>
    <n v="4"/>
    <n v="481.48"/>
    <s v="358 Main St"/>
    <x v="3"/>
    <x v="3"/>
    <s v="TRK38730545"/>
    <n v="5"/>
    <s v="SAVE10"/>
    <x v="0"/>
    <x v="894"/>
    <s v="SAVE10"/>
  </r>
  <r>
    <x v="898"/>
    <x v="376"/>
    <s v="C44619"/>
    <x v="0"/>
    <n v="3"/>
    <n v="158.37"/>
    <s v="742 Main St"/>
    <x v="4"/>
    <x v="0"/>
    <s v="TRK66662528"/>
    <n v="6"/>
    <m/>
    <x v="1"/>
    <x v="895"/>
    <s v="No Coupon"/>
  </r>
  <r>
    <x v="899"/>
    <x v="577"/>
    <s v="C99904"/>
    <x v="4"/>
    <n v="2"/>
    <n v="323.37"/>
    <s v="552 Main St"/>
    <x v="1"/>
    <x v="4"/>
    <s v="TRK83843411"/>
    <n v="3"/>
    <s v="SAVE10"/>
    <x v="0"/>
    <x v="896"/>
    <s v="SAVE10"/>
  </r>
  <r>
    <x v="900"/>
    <x v="492"/>
    <s v="C52342"/>
    <x v="5"/>
    <n v="5"/>
    <n v="73.83"/>
    <s v="991 Main St"/>
    <x v="0"/>
    <x v="4"/>
    <s v="TRK67342586"/>
    <n v="9"/>
    <m/>
    <x v="0"/>
    <x v="897"/>
    <s v="No Coupon"/>
  </r>
  <r>
    <x v="901"/>
    <x v="578"/>
    <s v="C44277"/>
    <x v="2"/>
    <n v="1"/>
    <n v="458.63"/>
    <s v="839 Main St"/>
    <x v="0"/>
    <x v="2"/>
    <s v="TRK79321479"/>
    <n v="4"/>
    <s v="WINTER15"/>
    <x v="1"/>
    <x v="898"/>
    <s v="WINTER15"/>
  </r>
  <r>
    <x v="902"/>
    <x v="579"/>
    <s v="C61162"/>
    <x v="0"/>
    <n v="4"/>
    <n v="180.25"/>
    <s v="813 Main St"/>
    <x v="0"/>
    <x v="1"/>
    <s v="TRK76712124"/>
    <n v="7"/>
    <m/>
    <x v="3"/>
    <x v="899"/>
    <s v="No Coupon"/>
  </r>
  <r>
    <x v="903"/>
    <x v="209"/>
    <s v="C80868"/>
    <x v="0"/>
    <n v="3"/>
    <n v="473.49"/>
    <s v="205 Main St"/>
    <x v="2"/>
    <x v="4"/>
    <s v="TRK56186636"/>
    <n v="7"/>
    <m/>
    <x v="2"/>
    <x v="900"/>
    <s v="No Coupon"/>
  </r>
  <r>
    <x v="904"/>
    <x v="580"/>
    <s v="C16693"/>
    <x v="0"/>
    <n v="4"/>
    <n v="237.43"/>
    <s v="262 Main St"/>
    <x v="4"/>
    <x v="1"/>
    <s v="TRK41146508"/>
    <n v="8"/>
    <s v="WINTER15"/>
    <x v="1"/>
    <x v="901"/>
    <s v="WINTER15"/>
  </r>
  <r>
    <x v="905"/>
    <x v="581"/>
    <s v="C67818"/>
    <x v="5"/>
    <n v="1"/>
    <n v="442.39"/>
    <s v="101 Main St"/>
    <x v="3"/>
    <x v="4"/>
    <s v="TRK81978113"/>
    <n v="6"/>
    <s v="FREESHIP"/>
    <x v="3"/>
    <x v="902"/>
    <s v="FREESHIP"/>
  </r>
  <r>
    <x v="906"/>
    <x v="459"/>
    <s v="C49938"/>
    <x v="0"/>
    <n v="1"/>
    <n v="62.12"/>
    <s v="141 Main St"/>
    <x v="4"/>
    <x v="2"/>
    <s v="TRK80175572"/>
    <n v="2"/>
    <m/>
    <x v="2"/>
    <x v="903"/>
    <s v="No Coupon"/>
  </r>
  <r>
    <x v="907"/>
    <x v="548"/>
    <s v="C90898"/>
    <x v="6"/>
    <n v="5"/>
    <n v="298.39"/>
    <s v="583 Main St"/>
    <x v="3"/>
    <x v="1"/>
    <s v="TRK52935170"/>
    <n v="7"/>
    <s v="WINTER15"/>
    <x v="1"/>
    <x v="904"/>
    <s v="WINTER15"/>
  </r>
  <r>
    <x v="908"/>
    <x v="138"/>
    <s v="C35117"/>
    <x v="6"/>
    <n v="2"/>
    <n v="697.93"/>
    <s v="332 Main St"/>
    <x v="2"/>
    <x v="1"/>
    <s v="TRK27155709"/>
    <n v="2"/>
    <s v="SAVE10"/>
    <x v="4"/>
    <x v="905"/>
    <s v="SAVE10"/>
  </r>
  <r>
    <x v="909"/>
    <x v="582"/>
    <s v="C60203"/>
    <x v="2"/>
    <n v="2"/>
    <n v="291.85000000000002"/>
    <s v="569 Main St"/>
    <x v="4"/>
    <x v="0"/>
    <s v="TRK76525279"/>
    <n v="5"/>
    <s v="FREESHIP"/>
    <x v="0"/>
    <x v="906"/>
    <s v="FREESHIP"/>
  </r>
  <r>
    <x v="910"/>
    <x v="583"/>
    <s v="C36174"/>
    <x v="4"/>
    <n v="3"/>
    <n v="308.98"/>
    <s v="348 Main St"/>
    <x v="4"/>
    <x v="3"/>
    <s v="TRK26397548"/>
    <n v="3"/>
    <s v="SAVE10"/>
    <x v="0"/>
    <x v="907"/>
    <s v="SAVE10"/>
  </r>
  <r>
    <x v="911"/>
    <x v="584"/>
    <s v="C80872"/>
    <x v="6"/>
    <n v="5"/>
    <n v="396.86"/>
    <s v="593 Main St"/>
    <x v="4"/>
    <x v="1"/>
    <s v="TRK43967487"/>
    <n v="9"/>
    <s v="SAVE10"/>
    <x v="0"/>
    <x v="908"/>
    <s v="SAVE10"/>
  </r>
  <r>
    <x v="912"/>
    <x v="585"/>
    <s v="C67604"/>
    <x v="6"/>
    <n v="2"/>
    <n v="139.69"/>
    <s v="318 Main St"/>
    <x v="1"/>
    <x v="2"/>
    <s v="TRK85545920"/>
    <n v="7"/>
    <s v="FREESHIP"/>
    <x v="2"/>
    <x v="909"/>
    <s v="FREESHIP"/>
  </r>
  <r>
    <x v="913"/>
    <x v="223"/>
    <s v="C45599"/>
    <x v="4"/>
    <n v="5"/>
    <n v="475.95"/>
    <s v="505 Main St"/>
    <x v="2"/>
    <x v="2"/>
    <s v="TRK62277685"/>
    <n v="8"/>
    <s v="WINTER15"/>
    <x v="3"/>
    <x v="910"/>
    <s v="WINTER15"/>
  </r>
  <r>
    <x v="914"/>
    <x v="441"/>
    <s v="C70352"/>
    <x v="6"/>
    <n v="1"/>
    <n v="626.6"/>
    <s v="955 Main St"/>
    <x v="3"/>
    <x v="2"/>
    <s v="TRK51589589"/>
    <n v="4"/>
    <s v="WINTER15"/>
    <x v="3"/>
    <x v="911"/>
    <s v="WINTER15"/>
  </r>
  <r>
    <x v="915"/>
    <x v="586"/>
    <s v="C20643"/>
    <x v="5"/>
    <n v="4"/>
    <n v="502.99"/>
    <s v="939 Main St"/>
    <x v="0"/>
    <x v="0"/>
    <s v="TRK30736692"/>
    <n v="4"/>
    <s v="WINTER15"/>
    <x v="1"/>
    <x v="912"/>
    <s v="WINTER15"/>
  </r>
  <r>
    <x v="916"/>
    <x v="587"/>
    <s v="C35669"/>
    <x v="4"/>
    <n v="5"/>
    <n v="578.83000000000004"/>
    <s v="165 Main St"/>
    <x v="4"/>
    <x v="2"/>
    <s v="TRK13928455"/>
    <n v="6"/>
    <m/>
    <x v="1"/>
    <x v="913"/>
    <s v="No Coupon"/>
  </r>
  <r>
    <x v="917"/>
    <x v="588"/>
    <s v="C65524"/>
    <x v="5"/>
    <n v="5"/>
    <n v="383.82"/>
    <s v="836 Main St"/>
    <x v="2"/>
    <x v="2"/>
    <s v="TRK19315310"/>
    <n v="7"/>
    <s v="FREESHIP"/>
    <x v="4"/>
    <x v="914"/>
    <s v="FREESHIP"/>
  </r>
  <r>
    <x v="918"/>
    <x v="53"/>
    <s v="C74359"/>
    <x v="5"/>
    <n v="5"/>
    <n v="368.25"/>
    <s v="706 Main St"/>
    <x v="1"/>
    <x v="3"/>
    <s v="TRK18250450"/>
    <n v="5"/>
    <m/>
    <x v="0"/>
    <x v="915"/>
    <s v="No Coupon"/>
  </r>
  <r>
    <x v="919"/>
    <x v="492"/>
    <s v="C92086"/>
    <x v="4"/>
    <n v="2"/>
    <n v="374.6"/>
    <s v="187 Main St"/>
    <x v="1"/>
    <x v="0"/>
    <s v="TRK23357668"/>
    <n v="3"/>
    <s v="FREESHIP"/>
    <x v="1"/>
    <x v="916"/>
    <s v="FREESHIP"/>
  </r>
  <r>
    <x v="920"/>
    <x v="495"/>
    <s v="C26137"/>
    <x v="2"/>
    <n v="2"/>
    <n v="428.09"/>
    <s v="978 Main St"/>
    <x v="2"/>
    <x v="2"/>
    <s v="TRK98110407"/>
    <n v="6"/>
    <m/>
    <x v="0"/>
    <x v="917"/>
    <s v="No Coupon"/>
  </r>
  <r>
    <x v="921"/>
    <x v="528"/>
    <s v="C90573"/>
    <x v="2"/>
    <n v="1"/>
    <n v="438.93"/>
    <s v="144 Main St"/>
    <x v="3"/>
    <x v="1"/>
    <s v="TRK90075720"/>
    <n v="3"/>
    <s v="SAVE10"/>
    <x v="1"/>
    <x v="918"/>
    <s v="SAVE10"/>
  </r>
  <r>
    <x v="922"/>
    <x v="589"/>
    <s v="C81857"/>
    <x v="6"/>
    <n v="2"/>
    <n v="563.82000000000005"/>
    <s v="487 Main St"/>
    <x v="2"/>
    <x v="4"/>
    <s v="TRK79737732"/>
    <n v="3"/>
    <m/>
    <x v="0"/>
    <x v="919"/>
    <s v="No Coupon"/>
  </r>
  <r>
    <x v="923"/>
    <x v="91"/>
    <s v="C91582"/>
    <x v="4"/>
    <n v="3"/>
    <n v="649.92999999999995"/>
    <s v="836 Main St"/>
    <x v="2"/>
    <x v="4"/>
    <s v="TRK99938245"/>
    <n v="7"/>
    <s v="WINTER15"/>
    <x v="3"/>
    <x v="920"/>
    <s v="WINTER15"/>
  </r>
  <r>
    <x v="924"/>
    <x v="29"/>
    <s v="C81319"/>
    <x v="4"/>
    <n v="5"/>
    <n v="268.43"/>
    <s v="991 Main St"/>
    <x v="4"/>
    <x v="2"/>
    <s v="TRK55330558"/>
    <n v="5"/>
    <s v="SAVE10"/>
    <x v="2"/>
    <x v="921"/>
    <s v="SAVE10"/>
  </r>
  <r>
    <x v="925"/>
    <x v="590"/>
    <s v="C78500"/>
    <x v="0"/>
    <n v="5"/>
    <n v="502.47"/>
    <s v="304 Main St"/>
    <x v="1"/>
    <x v="0"/>
    <s v="TRK97460884"/>
    <n v="10"/>
    <s v="WINTER15"/>
    <x v="2"/>
    <x v="922"/>
    <s v="WINTER15"/>
  </r>
  <r>
    <x v="926"/>
    <x v="591"/>
    <s v="C67533"/>
    <x v="6"/>
    <n v="1"/>
    <n v="26.95"/>
    <s v="672 Main St"/>
    <x v="4"/>
    <x v="3"/>
    <s v="TRK14566395"/>
    <n v="1"/>
    <s v="WINTER15"/>
    <x v="2"/>
    <x v="923"/>
    <s v="WINTER15"/>
  </r>
  <r>
    <x v="927"/>
    <x v="592"/>
    <s v="C35566"/>
    <x v="5"/>
    <n v="4"/>
    <n v="64.69"/>
    <s v="638 Main St"/>
    <x v="0"/>
    <x v="0"/>
    <s v="TRK10003020"/>
    <n v="7"/>
    <s v="WINTER15"/>
    <x v="4"/>
    <x v="924"/>
    <s v="WINTER15"/>
  </r>
  <r>
    <x v="928"/>
    <x v="593"/>
    <s v="C77166"/>
    <x v="5"/>
    <n v="3"/>
    <n v="247.11"/>
    <s v="821 Main St"/>
    <x v="0"/>
    <x v="2"/>
    <s v="TRK18896595"/>
    <n v="3"/>
    <s v="WINTER15"/>
    <x v="1"/>
    <x v="925"/>
    <s v="WINTER15"/>
  </r>
  <r>
    <x v="929"/>
    <x v="594"/>
    <s v="C67936"/>
    <x v="2"/>
    <n v="2"/>
    <n v="536.25"/>
    <s v="553 Main St"/>
    <x v="0"/>
    <x v="4"/>
    <s v="TRK71803414"/>
    <n v="3"/>
    <m/>
    <x v="2"/>
    <x v="926"/>
    <s v="No Coupon"/>
  </r>
  <r>
    <x v="930"/>
    <x v="393"/>
    <s v="C59554"/>
    <x v="1"/>
    <n v="2"/>
    <n v="456.04"/>
    <s v="382 Main St"/>
    <x v="0"/>
    <x v="2"/>
    <s v="TRK28182447"/>
    <n v="4"/>
    <s v="FREESHIP"/>
    <x v="2"/>
    <x v="927"/>
    <s v="FREESHIP"/>
  </r>
  <r>
    <x v="931"/>
    <x v="543"/>
    <s v="C14005"/>
    <x v="4"/>
    <n v="2"/>
    <n v="40.229999999999997"/>
    <s v="623 Main St"/>
    <x v="2"/>
    <x v="1"/>
    <s v="TRK87567926"/>
    <n v="4"/>
    <s v="SAVE10"/>
    <x v="4"/>
    <x v="928"/>
    <s v="SAVE10"/>
  </r>
  <r>
    <x v="932"/>
    <x v="465"/>
    <s v="C26118"/>
    <x v="5"/>
    <n v="2"/>
    <n v="72.39"/>
    <s v="168 Main St"/>
    <x v="1"/>
    <x v="3"/>
    <s v="TRK15334251"/>
    <n v="7"/>
    <s v="WINTER15"/>
    <x v="0"/>
    <x v="929"/>
    <s v="WINTER15"/>
  </r>
  <r>
    <x v="933"/>
    <x v="595"/>
    <s v="C59685"/>
    <x v="0"/>
    <n v="2"/>
    <n v="394.16"/>
    <s v="255 Main St"/>
    <x v="1"/>
    <x v="0"/>
    <s v="TRK43718093"/>
    <n v="2"/>
    <m/>
    <x v="1"/>
    <x v="930"/>
    <s v="No Coupon"/>
  </r>
  <r>
    <x v="934"/>
    <x v="565"/>
    <s v="C40304"/>
    <x v="5"/>
    <n v="4"/>
    <n v="119.84"/>
    <s v="692 Main St"/>
    <x v="3"/>
    <x v="0"/>
    <s v="TRK85790948"/>
    <n v="8"/>
    <s v="FREESHIP"/>
    <x v="1"/>
    <x v="931"/>
    <s v="FREESHIP"/>
  </r>
  <r>
    <x v="935"/>
    <x v="254"/>
    <s v="C39593"/>
    <x v="1"/>
    <n v="3"/>
    <n v="692.71"/>
    <s v="398 Main St"/>
    <x v="2"/>
    <x v="3"/>
    <s v="TRK62405253"/>
    <n v="3"/>
    <s v="FREESHIP"/>
    <x v="0"/>
    <x v="932"/>
    <s v="FREESHIP"/>
  </r>
  <r>
    <x v="936"/>
    <x v="596"/>
    <s v="C50612"/>
    <x v="3"/>
    <n v="4"/>
    <n v="56.66"/>
    <s v="737 Main St"/>
    <x v="1"/>
    <x v="3"/>
    <s v="TRK44140968"/>
    <n v="4"/>
    <s v="SAVE10"/>
    <x v="0"/>
    <x v="933"/>
    <s v="SAVE10"/>
  </r>
  <r>
    <x v="937"/>
    <x v="462"/>
    <s v="C39791"/>
    <x v="3"/>
    <n v="2"/>
    <n v="298.52999999999997"/>
    <s v="536 Main St"/>
    <x v="0"/>
    <x v="1"/>
    <s v="TRK46221436"/>
    <n v="5"/>
    <s v="WINTER15"/>
    <x v="2"/>
    <x v="934"/>
    <s v="WINTER15"/>
  </r>
  <r>
    <x v="938"/>
    <x v="219"/>
    <s v="C39017"/>
    <x v="3"/>
    <n v="3"/>
    <n v="331.46"/>
    <s v="696 Main St"/>
    <x v="2"/>
    <x v="1"/>
    <s v="TRK91155214"/>
    <n v="6"/>
    <s v="WINTER15"/>
    <x v="1"/>
    <x v="935"/>
    <s v="WINTER15"/>
  </r>
  <r>
    <x v="939"/>
    <x v="597"/>
    <s v="C48510"/>
    <x v="5"/>
    <n v="2"/>
    <n v="521.4"/>
    <s v="212 Main St"/>
    <x v="4"/>
    <x v="3"/>
    <s v="TRK53152886"/>
    <n v="7"/>
    <s v="SAVE10"/>
    <x v="0"/>
    <x v="936"/>
    <s v="SAVE10"/>
  </r>
  <r>
    <x v="940"/>
    <x v="14"/>
    <s v="C74003"/>
    <x v="4"/>
    <n v="4"/>
    <n v="305.32"/>
    <s v="679 Main St"/>
    <x v="1"/>
    <x v="1"/>
    <s v="TRK91525779"/>
    <n v="4"/>
    <s v="SAVE10"/>
    <x v="4"/>
    <x v="937"/>
    <s v="SAVE10"/>
  </r>
  <r>
    <x v="941"/>
    <x v="15"/>
    <s v="C91155"/>
    <x v="4"/>
    <n v="5"/>
    <n v="111.7"/>
    <s v="599 Main St"/>
    <x v="2"/>
    <x v="1"/>
    <s v="TRK82162952"/>
    <n v="9"/>
    <s v="FREESHIP"/>
    <x v="2"/>
    <x v="938"/>
    <s v="FREESHIP"/>
  </r>
  <r>
    <x v="942"/>
    <x v="372"/>
    <s v="C17591"/>
    <x v="2"/>
    <n v="1"/>
    <n v="479.76"/>
    <s v="882 Main St"/>
    <x v="2"/>
    <x v="4"/>
    <s v="TRK56070470"/>
    <n v="1"/>
    <m/>
    <x v="2"/>
    <x v="939"/>
    <s v="No Coupon"/>
  </r>
  <r>
    <x v="943"/>
    <x v="140"/>
    <s v="C43330"/>
    <x v="0"/>
    <n v="3"/>
    <n v="193.49"/>
    <s v="355 Main St"/>
    <x v="3"/>
    <x v="2"/>
    <s v="TRK71594838"/>
    <n v="6"/>
    <s v="FREESHIP"/>
    <x v="3"/>
    <x v="940"/>
    <s v="FREESHIP"/>
  </r>
  <r>
    <x v="944"/>
    <x v="393"/>
    <s v="C32687"/>
    <x v="5"/>
    <n v="2"/>
    <n v="426.22"/>
    <s v="448 Main St"/>
    <x v="1"/>
    <x v="3"/>
    <s v="TRK98284560"/>
    <n v="7"/>
    <s v="WINTER15"/>
    <x v="4"/>
    <x v="941"/>
    <s v="WINTER15"/>
  </r>
  <r>
    <x v="945"/>
    <x v="38"/>
    <s v="C79722"/>
    <x v="2"/>
    <n v="5"/>
    <n v="276.44"/>
    <s v="619 Main St"/>
    <x v="3"/>
    <x v="0"/>
    <s v="TRK29976438"/>
    <n v="10"/>
    <s v="FREESHIP"/>
    <x v="1"/>
    <x v="942"/>
    <s v="FREESHIP"/>
  </r>
  <r>
    <x v="946"/>
    <x v="598"/>
    <s v="C65021"/>
    <x v="1"/>
    <n v="2"/>
    <n v="404.96"/>
    <s v="546 Main St"/>
    <x v="4"/>
    <x v="0"/>
    <s v="TRK20626179"/>
    <n v="4"/>
    <s v="SAVE10"/>
    <x v="2"/>
    <x v="943"/>
    <s v="SAVE10"/>
  </r>
  <r>
    <x v="947"/>
    <x v="599"/>
    <s v="C85520"/>
    <x v="1"/>
    <n v="4"/>
    <n v="465.66"/>
    <s v="119 Main St"/>
    <x v="1"/>
    <x v="2"/>
    <s v="TRK65994177"/>
    <n v="9"/>
    <s v="FREESHIP"/>
    <x v="2"/>
    <x v="944"/>
    <s v="FREESHIP"/>
  </r>
  <r>
    <x v="948"/>
    <x v="587"/>
    <s v="C94569"/>
    <x v="1"/>
    <n v="2"/>
    <n v="594.07000000000005"/>
    <s v="739 Main St"/>
    <x v="3"/>
    <x v="1"/>
    <s v="TRK79269291"/>
    <n v="2"/>
    <m/>
    <x v="4"/>
    <x v="945"/>
    <s v="No Coupon"/>
  </r>
  <r>
    <x v="949"/>
    <x v="576"/>
    <s v="C55778"/>
    <x v="6"/>
    <n v="5"/>
    <n v="110.38"/>
    <s v="319 Main St"/>
    <x v="4"/>
    <x v="4"/>
    <s v="TRK93797108"/>
    <n v="10"/>
    <m/>
    <x v="1"/>
    <x v="946"/>
    <s v="No Coupon"/>
  </r>
  <r>
    <x v="950"/>
    <x v="583"/>
    <s v="C19722"/>
    <x v="5"/>
    <n v="1"/>
    <n v="596.24"/>
    <s v="891 Main St"/>
    <x v="2"/>
    <x v="2"/>
    <s v="TRK78094361"/>
    <n v="4"/>
    <s v="FREESHIP"/>
    <x v="0"/>
    <x v="947"/>
    <s v="FREESHIP"/>
  </r>
  <r>
    <x v="951"/>
    <x v="319"/>
    <s v="C74928"/>
    <x v="4"/>
    <n v="2"/>
    <n v="306.24"/>
    <s v="589 Main St"/>
    <x v="1"/>
    <x v="2"/>
    <s v="TRK39845914"/>
    <n v="4"/>
    <s v="FREESHIP"/>
    <x v="2"/>
    <x v="948"/>
    <s v="FREESHIP"/>
  </r>
  <r>
    <x v="952"/>
    <x v="37"/>
    <s v="C49111"/>
    <x v="0"/>
    <n v="3"/>
    <n v="503.39"/>
    <s v="225 Main St"/>
    <x v="1"/>
    <x v="4"/>
    <s v="TRK45303393"/>
    <n v="5"/>
    <m/>
    <x v="3"/>
    <x v="949"/>
    <s v="No Coupon"/>
  </r>
  <r>
    <x v="953"/>
    <x v="600"/>
    <s v="C43721"/>
    <x v="1"/>
    <n v="1"/>
    <n v="131.61000000000001"/>
    <s v="971 Main St"/>
    <x v="4"/>
    <x v="0"/>
    <s v="TRK89392104"/>
    <n v="2"/>
    <s v="FREESHIP"/>
    <x v="3"/>
    <x v="950"/>
    <s v="FREESHIP"/>
  </r>
  <r>
    <x v="954"/>
    <x v="601"/>
    <s v="C68609"/>
    <x v="3"/>
    <n v="3"/>
    <n v="443.44"/>
    <s v="240 Main St"/>
    <x v="3"/>
    <x v="0"/>
    <s v="TRK58273778"/>
    <n v="3"/>
    <s v="FREESHIP"/>
    <x v="4"/>
    <x v="951"/>
    <s v="FREESHIP"/>
  </r>
  <r>
    <x v="955"/>
    <x v="19"/>
    <s v="C82068"/>
    <x v="3"/>
    <n v="1"/>
    <n v="408.13"/>
    <s v="164 Main St"/>
    <x v="3"/>
    <x v="0"/>
    <s v="TRK25779180"/>
    <n v="3"/>
    <s v="WINTER15"/>
    <x v="0"/>
    <x v="952"/>
    <s v="WINTER15"/>
  </r>
  <r>
    <x v="956"/>
    <x v="166"/>
    <s v="C21191"/>
    <x v="1"/>
    <n v="2"/>
    <n v="160.97999999999999"/>
    <s v="381 Main St"/>
    <x v="0"/>
    <x v="3"/>
    <s v="TRK86246309"/>
    <n v="3"/>
    <s v="SAVE10"/>
    <x v="1"/>
    <x v="953"/>
    <s v="SAVE10"/>
  </r>
  <r>
    <x v="957"/>
    <x v="602"/>
    <s v="C73575"/>
    <x v="0"/>
    <n v="5"/>
    <n v="643.89"/>
    <s v="851 Main St"/>
    <x v="4"/>
    <x v="2"/>
    <s v="TRK23387612"/>
    <n v="8"/>
    <s v="WINTER15"/>
    <x v="3"/>
    <x v="954"/>
    <s v="WINTER15"/>
  </r>
  <r>
    <x v="958"/>
    <x v="603"/>
    <s v="C82685"/>
    <x v="6"/>
    <n v="3"/>
    <n v="158.66"/>
    <s v="537 Main St"/>
    <x v="3"/>
    <x v="3"/>
    <s v="TRK70184320"/>
    <n v="7"/>
    <s v="WINTER15"/>
    <x v="2"/>
    <x v="955"/>
    <s v="WINTER15"/>
  </r>
  <r>
    <x v="959"/>
    <x v="604"/>
    <s v="C73996"/>
    <x v="2"/>
    <n v="2"/>
    <n v="143.82"/>
    <s v="856 Main St"/>
    <x v="2"/>
    <x v="2"/>
    <s v="TRK74579570"/>
    <n v="6"/>
    <s v="SAVE10"/>
    <x v="0"/>
    <x v="956"/>
    <s v="SAVE10"/>
  </r>
  <r>
    <x v="960"/>
    <x v="66"/>
    <s v="C87687"/>
    <x v="5"/>
    <n v="3"/>
    <n v="379.07"/>
    <s v="312 Main St"/>
    <x v="3"/>
    <x v="4"/>
    <s v="TRK60383805"/>
    <n v="3"/>
    <s v="WINTER15"/>
    <x v="4"/>
    <x v="957"/>
    <s v="WINTER15"/>
  </r>
  <r>
    <x v="961"/>
    <x v="435"/>
    <s v="C55464"/>
    <x v="1"/>
    <n v="1"/>
    <n v="601.36"/>
    <s v="532 Main St"/>
    <x v="1"/>
    <x v="0"/>
    <s v="TRK81178598"/>
    <n v="1"/>
    <m/>
    <x v="3"/>
    <x v="958"/>
    <s v="No Coupon"/>
  </r>
  <r>
    <x v="962"/>
    <x v="605"/>
    <s v="C12459"/>
    <x v="1"/>
    <n v="2"/>
    <n v="142.08000000000001"/>
    <s v="838 Main St"/>
    <x v="3"/>
    <x v="3"/>
    <s v="TRK30674085"/>
    <n v="4"/>
    <s v="SAVE10"/>
    <x v="1"/>
    <x v="959"/>
    <s v="SAVE10"/>
  </r>
  <r>
    <x v="963"/>
    <x v="606"/>
    <s v="C88075"/>
    <x v="3"/>
    <n v="5"/>
    <n v="530.34"/>
    <s v="970 Main St"/>
    <x v="1"/>
    <x v="0"/>
    <s v="TRK42832976"/>
    <n v="9"/>
    <s v="FREESHIP"/>
    <x v="4"/>
    <x v="960"/>
    <s v="FREESHIP"/>
  </r>
  <r>
    <x v="964"/>
    <x v="38"/>
    <s v="C18583"/>
    <x v="1"/>
    <n v="5"/>
    <n v="364.42"/>
    <s v="778 Main St"/>
    <x v="2"/>
    <x v="1"/>
    <s v="TRK43084595"/>
    <n v="10"/>
    <s v="SAVE10"/>
    <x v="1"/>
    <x v="961"/>
    <s v="SAVE10"/>
  </r>
  <r>
    <x v="965"/>
    <x v="607"/>
    <s v="C70412"/>
    <x v="5"/>
    <n v="4"/>
    <n v="578.28"/>
    <s v="791 Main St"/>
    <x v="3"/>
    <x v="1"/>
    <s v="TRK22192783"/>
    <n v="5"/>
    <s v="FREESHIP"/>
    <x v="2"/>
    <x v="962"/>
    <s v="FREESHIP"/>
  </r>
  <r>
    <x v="966"/>
    <x v="608"/>
    <s v="C58503"/>
    <x v="0"/>
    <n v="5"/>
    <n v="280.52"/>
    <s v="290 Main St"/>
    <x v="2"/>
    <x v="1"/>
    <s v="TRK12981657"/>
    <n v="7"/>
    <s v="WINTER15"/>
    <x v="3"/>
    <x v="963"/>
    <s v="WINTER15"/>
  </r>
  <r>
    <x v="967"/>
    <x v="138"/>
    <s v="C52879"/>
    <x v="2"/>
    <n v="5"/>
    <n v="638.91999999999996"/>
    <s v="502 Main St"/>
    <x v="2"/>
    <x v="2"/>
    <s v="TRK67403284"/>
    <n v="5"/>
    <s v="FREESHIP"/>
    <x v="4"/>
    <x v="964"/>
    <s v="FREESHIP"/>
  </r>
  <r>
    <x v="968"/>
    <x v="458"/>
    <s v="C67870"/>
    <x v="0"/>
    <n v="4"/>
    <n v="412.2"/>
    <s v="664 Main St"/>
    <x v="2"/>
    <x v="0"/>
    <s v="TRK72602178"/>
    <n v="6"/>
    <s v="WINTER15"/>
    <x v="1"/>
    <x v="965"/>
    <s v="WINTER15"/>
  </r>
  <r>
    <x v="969"/>
    <x v="85"/>
    <s v="C19439"/>
    <x v="6"/>
    <n v="1"/>
    <n v="440.34"/>
    <s v="675 Main St"/>
    <x v="3"/>
    <x v="0"/>
    <s v="TRK25383993"/>
    <n v="2"/>
    <s v="WINTER15"/>
    <x v="3"/>
    <x v="966"/>
    <s v="WINTER15"/>
  </r>
  <r>
    <x v="970"/>
    <x v="609"/>
    <s v="C72664"/>
    <x v="6"/>
    <n v="1"/>
    <n v="627.15"/>
    <s v="241 Main St"/>
    <x v="4"/>
    <x v="3"/>
    <s v="TRK86694331"/>
    <n v="5"/>
    <s v="SAVE10"/>
    <x v="0"/>
    <x v="967"/>
    <s v="SAVE10"/>
  </r>
  <r>
    <x v="971"/>
    <x v="582"/>
    <s v="C32650"/>
    <x v="0"/>
    <n v="2"/>
    <n v="605.26"/>
    <s v="934 Main St"/>
    <x v="4"/>
    <x v="1"/>
    <s v="TRK66648743"/>
    <n v="4"/>
    <s v="WINTER15"/>
    <x v="1"/>
    <x v="968"/>
    <s v="WINTER15"/>
  </r>
  <r>
    <x v="972"/>
    <x v="410"/>
    <s v="C66438"/>
    <x v="5"/>
    <n v="1"/>
    <n v="90.27"/>
    <s v="816 Main St"/>
    <x v="4"/>
    <x v="3"/>
    <s v="TRK32035271"/>
    <n v="5"/>
    <s v="SAVE10"/>
    <x v="3"/>
    <x v="969"/>
    <s v="SAVE10"/>
  </r>
  <r>
    <x v="973"/>
    <x v="559"/>
    <s v="C70010"/>
    <x v="6"/>
    <n v="5"/>
    <n v="230.77"/>
    <s v="141 Main St"/>
    <x v="1"/>
    <x v="4"/>
    <s v="TRK50594008"/>
    <n v="10"/>
    <s v="WINTER15"/>
    <x v="1"/>
    <x v="970"/>
    <s v="WINTER15"/>
  </r>
  <r>
    <x v="974"/>
    <x v="610"/>
    <s v="C30722"/>
    <x v="6"/>
    <n v="5"/>
    <n v="266.77999999999997"/>
    <s v="274 Main St"/>
    <x v="3"/>
    <x v="1"/>
    <s v="TRK52088168"/>
    <n v="5"/>
    <m/>
    <x v="2"/>
    <x v="971"/>
    <s v="No Coupon"/>
  </r>
  <r>
    <x v="975"/>
    <x v="419"/>
    <s v="C70529"/>
    <x v="6"/>
    <n v="1"/>
    <n v="105.92"/>
    <s v="974 Main St"/>
    <x v="3"/>
    <x v="2"/>
    <s v="TRK82165408"/>
    <n v="6"/>
    <s v="SAVE10"/>
    <x v="2"/>
    <x v="972"/>
    <s v="SAVE10"/>
  </r>
  <r>
    <x v="976"/>
    <x v="172"/>
    <s v="C18984"/>
    <x v="2"/>
    <n v="3"/>
    <n v="589.29999999999995"/>
    <s v="650 Main St"/>
    <x v="2"/>
    <x v="2"/>
    <s v="TRK49298239"/>
    <n v="6"/>
    <s v="WINTER15"/>
    <x v="1"/>
    <x v="973"/>
    <s v="WINTER15"/>
  </r>
  <r>
    <x v="977"/>
    <x v="423"/>
    <s v="C85841"/>
    <x v="3"/>
    <n v="4"/>
    <n v="649.47"/>
    <s v="608 Main St"/>
    <x v="4"/>
    <x v="4"/>
    <s v="TRK99820544"/>
    <n v="8"/>
    <s v="SAVE10"/>
    <x v="4"/>
    <x v="974"/>
    <s v="SAVE10"/>
  </r>
  <r>
    <x v="978"/>
    <x v="611"/>
    <s v="C41508"/>
    <x v="4"/>
    <n v="4"/>
    <n v="107.49"/>
    <s v="993 Main St"/>
    <x v="4"/>
    <x v="3"/>
    <s v="TRK61047536"/>
    <n v="5"/>
    <m/>
    <x v="4"/>
    <x v="975"/>
    <s v="No Coupon"/>
  </r>
  <r>
    <x v="979"/>
    <x v="546"/>
    <s v="C75018"/>
    <x v="0"/>
    <n v="3"/>
    <n v="669.06"/>
    <s v="299 Main St"/>
    <x v="4"/>
    <x v="3"/>
    <s v="TRK51794806"/>
    <n v="7"/>
    <s v="SAVE10"/>
    <x v="3"/>
    <x v="976"/>
    <s v="SAVE10"/>
  </r>
  <r>
    <x v="980"/>
    <x v="612"/>
    <s v="C84320"/>
    <x v="3"/>
    <n v="3"/>
    <n v="69.650000000000006"/>
    <s v="107 Main St"/>
    <x v="4"/>
    <x v="3"/>
    <s v="TRK81093218"/>
    <n v="7"/>
    <s v="WINTER15"/>
    <x v="0"/>
    <x v="977"/>
    <s v="WINTER15"/>
  </r>
  <r>
    <x v="981"/>
    <x v="371"/>
    <s v="C12609"/>
    <x v="1"/>
    <n v="4"/>
    <n v="136.83000000000001"/>
    <s v="490 Main St"/>
    <x v="0"/>
    <x v="4"/>
    <s v="TRK56379337"/>
    <n v="8"/>
    <s v="SAVE10"/>
    <x v="2"/>
    <x v="978"/>
    <s v="SAVE10"/>
  </r>
  <r>
    <x v="982"/>
    <x v="605"/>
    <s v="C64935"/>
    <x v="0"/>
    <n v="1"/>
    <n v="304.11"/>
    <s v="707 Main St"/>
    <x v="3"/>
    <x v="0"/>
    <s v="TRK42969065"/>
    <n v="2"/>
    <s v="SAVE10"/>
    <x v="1"/>
    <x v="979"/>
    <s v="SAVE10"/>
  </r>
  <r>
    <x v="983"/>
    <x v="167"/>
    <s v="C67528"/>
    <x v="0"/>
    <n v="4"/>
    <n v="296.27999999999997"/>
    <s v="110 Main St"/>
    <x v="3"/>
    <x v="0"/>
    <s v="TRK60865210"/>
    <n v="5"/>
    <s v="SAVE10"/>
    <x v="2"/>
    <x v="980"/>
    <s v="SAVE10"/>
  </r>
  <r>
    <x v="984"/>
    <x v="252"/>
    <s v="C44176"/>
    <x v="6"/>
    <n v="1"/>
    <n v="77.64"/>
    <s v="706 Main St"/>
    <x v="2"/>
    <x v="0"/>
    <s v="TRK68704764"/>
    <n v="1"/>
    <s v="FREESHIP"/>
    <x v="3"/>
    <x v="981"/>
    <s v="FREESHIP"/>
  </r>
  <r>
    <x v="985"/>
    <x v="351"/>
    <s v="C92788"/>
    <x v="6"/>
    <n v="1"/>
    <n v="243.71"/>
    <s v="948 Main St"/>
    <x v="3"/>
    <x v="3"/>
    <s v="TRK83835361"/>
    <n v="6"/>
    <s v="SAVE10"/>
    <x v="4"/>
    <x v="982"/>
    <s v="SAVE10"/>
  </r>
  <r>
    <x v="986"/>
    <x v="609"/>
    <s v="C69213"/>
    <x v="5"/>
    <n v="4"/>
    <n v="644.96"/>
    <s v="533 Main St"/>
    <x v="2"/>
    <x v="4"/>
    <s v="TRK67837331"/>
    <n v="7"/>
    <s v="FREESHIP"/>
    <x v="2"/>
    <x v="983"/>
    <s v="FREESHIP"/>
  </r>
  <r>
    <x v="987"/>
    <x v="85"/>
    <s v="C67387"/>
    <x v="1"/>
    <n v="5"/>
    <n v="283.73"/>
    <s v="436 Main St"/>
    <x v="3"/>
    <x v="4"/>
    <s v="TRK54120003"/>
    <n v="8"/>
    <s v="FREESHIP"/>
    <x v="0"/>
    <x v="984"/>
    <s v="FREESHIP"/>
  </r>
  <r>
    <x v="988"/>
    <x v="496"/>
    <s v="C90318"/>
    <x v="6"/>
    <n v="2"/>
    <n v="629.55999999999995"/>
    <s v="818 Main St"/>
    <x v="3"/>
    <x v="1"/>
    <s v="TRK52765043"/>
    <n v="5"/>
    <s v="WINTER15"/>
    <x v="0"/>
    <x v="985"/>
    <s v="WINTER15"/>
  </r>
  <r>
    <x v="989"/>
    <x v="613"/>
    <s v="C49995"/>
    <x v="5"/>
    <n v="4"/>
    <n v="246.11"/>
    <s v="559 Main St"/>
    <x v="2"/>
    <x v="4"/>
    <s v="TRK33212013"/>
    <n v="4"/>
    <s v="SAVE10"/>
    <x v="0"/>
    <x v="986"/>
    <s v="SAVE10"/>
  </r>
  <r>
    <x v="990"/>
    <x v="614"/>
    <s v="C52313"/>
    <x v="1"/>
    <n v="2"/>
    <n v="418.26"/>
    <s v="913 Main St"/>
    <x v="0"/>
    <x v="4"/>
    <s v="TRK67368559"/>
    <n v="2"/>
    <s v="SAVE10"/>
    <x v="4"/>
    <x v="987"/>
    <s v="SAVE10"/>
  </r>
  <r>
    <x v="991"/>
    <x v="593"/>
    <s v="C10211"/>
    <x v="6"/>
    <n v="5"/>
    <n v="127.18"/>
    <s v="598 Main St"/>
    <x v="0"/>
    <x v="1"/>
    <s v="TRK68938335"/>
    <n v="10"/>
    <s v="FREESHIP"/>
    <x v="4"/>
    <x v="66"/>
    <s v="FREESHIP"/>
  </r>
  <r>
    <x v="992"/>
    <x v="615"/>
    <s v="C97907"/>
    <x v="4"/>
    <n v="3"/>
    <n v="586.21"/>
    <s v="933 Main St"/>
    <x v="3"/>
    <x v="4"/>
    <s v="TRK89637569"/>
    <n v="4"/>
    <s v="WINTER15"/>
    <x v="1"/>
    <x v="988"/>
    <s v="WINTER15"/>
  </r>
  <r>
    <x v="993"/>
    <x v="616"/>
    <s v="C61384"/>
    <x v="0"/>
    <n v="3"/>
    <n v="267.45"/>
    <s v="576 Main St"/>
    <x v="3"/>
    <x v="3"/>
    <s v="TRK33323210"/>
    <n v="5"/>
    <s v="WINTER15"/>
    <x v="0"/>
    <x v="989"/>
    <s v="WINTER15"/>
  </r>
  <r>
    <x v="994"/>
    <x v="326"/>
    <s v="C27613"/>
    <x v="2"/>
    <n v="4"/>
    <n v="615.65"/>
    <s v="971 Main St"/>
    <x v="0"/>
    <x v="3"/>
    <s v="TRK63701318"/>
    <n v="9"/>
    <s v="WINTER15"/>
    <x v="4"/>
    <x v="990"/>
    <s v="WINTER15"/>
  </r>
  <r>
    <x v="995"/>
    <x v="134"/>
    <s v="C99271"/>
    <x v="0"/>
    <n v="2"/>
    <n v="113.29"/>
    <s v="959 Main St"/>
    <x v="4"/>
    <x v="4"/>
    <s v="TRK87832736"/>
    <n v="5"/>
    <s v="SAVE10"/>
    <x v="3"/>
    <x v="991"/>
    <s v="SAVE10"/>
  </r>
  <r>
    <x v="996"/>
    <x v="578"/>
    <s v="C28648"/>
    <x v="0"/>
    <n v="4"/>
    <n v="473.86"/>
    <s v="101 Main St"/>
    <x v="0"/>
    <x v="3"/>
    <s v="TRK92240846"/>
    <n v="7"/>
    <s v="SAVE10"/>
    <x v="3"/>
    <x v="992"/>
    <s v="SAVE10"/>
  </r>
  <r>
    <x v="997"/>
    <x v="110"/>
    <s v="C26210"/>
    <x v="5"/>
    <n v="3"/>
    <n v="444.75"/>
    <s v="805 Main St"/>
    <x v="4"/>
    <x v="3"/>
    <s v="TRK40616861"/>
    <n v="6"/>
    <s v="SAVE10"/>
    <x v="3"/>
    <x v="993"/>
    <s v="SAVE10"/>
  </r>
  <r>
    <x v="998"/>
    <x v="213"/>
    <s v="C90350"/>
    <x v="1"/>
    <n v="2"/>
    <n v="183.67"/>
    <s v="783 Main St"/>
    <x v="0"/>
    <x v="1"/>
    <s v="TRK22824230"/>
    <n v="6"/>
    <s v="SAVE10"/>
    <x v="4"/>
    <x v="357"/>
    <s v="SAVE10"/>
  </r>
  <r>
    <x v="999"/>
    <x v="478"/>
    <s v="C61957"/>
    <x v="4"/>
    <n v="1"/>
    <n v="483.38"/>
    <s v="652 Main St"/>
    <x v="4"/>
    <x v="4"/>
    <s v="TRK43983841"/>
    <n v="6"/>
    <s v="FREESHIP"/>
    <x v="4"/>
    <x v="994"/>
    <s v="FREESHIP"/>
  </r>
  <r>
    <x v="1000"/>
    <x v="617"/>
    <s v="C90132"/>
    <x v="4"/>
    <n v="5"/>
    <n v="260.93"/>
    <s v="582 Main St"/>
    <x v="1"/>
    <x v="3"/>
    <s v="TRK52664903"/>
    <n v="9"/>
    <s v="SAVE10"/>
    <x v="2"/>
    <x v="995"/>
    <s v="SAVE10"/>
  </r>
  <r>
    <x v="1001"/>
    <x v="618"/>
    <s v="C31371"/>
    <x v="4"/>
    <n v="2"/>
    <n v="253.68"/>
    <s v="122 Main St"/>
    <x v="3"/>
    <x v="0"/>
    <s v="TRK19554327"/>
    <n v="6"/>
    <m/>
    <x v="1"/>
    <x v="996"/>
    <s v="No Coupon"/>
  </r>
  <r>
    <x v="1002"/>
    <x v="619"/>
    <s v="C83911"/>
    <x v="2"/>
    <n v="4"/>
    <n v="699.88"/>
    <s v="944 Main St"/>
    <x v="4"/>
    <x v="4"/>
    <s v="TRK33188106"/>
    <n v="5"/>
    <s v="WINTER15"/>
    <x v="1"/>
    <x v="997"/>
    <s v="WINTER15"/>
  </r>
  <r>
    <x v="1003"/>
    <x v="348"/>
    <s v="C84700"/>
    <x v="4"/>
    <n v="5"/>
    <n v="319.97000000000003"/>
    <s v="582 Main St"/>
    <x v="4"/>
    <x v="0"/>
    <s v="TRK14706969"/>
    <n v="7"/>
    <s v="SAVE10"/>
    <x v="4"/>
    <x v="998"/>
    <s v="SAVE10"/>
  </r>
  <r>
    <x v="1004"/>
    <x v="559"/>
    <s v="C87529"/>
    <x v="3"/>
    <n v="4"/>
    <n v="246.91"/>
    <s v="296 Main St"/>
    <x v="1"/>
    <x v="4"/>
    <s v="TRK15739505"/>
    <n v="8"/>
    <s v="SAVE10"/>
    <x v="1"/>
    <x v="999"/>
    <s v="SAVE10"/>
  </r>
  <r>
    <x v="1005"/>
    <x v="521"/>
    <s v="C38065"/>
    <x v="4"/>
    <n v="3"/>
    <n v="392.85"/>
    <s v="426 Main St"/>
    <x v="2"/>
    <x v="2"/>
    <s v="TRK11448295"/>
    <n v="6"/>
    <m/>
    <x v="4"/>
    <x v="1000"/>
    <s v="No Coupon"/>
  </r>
  <r>
    <x v="1006"/>
    <x v="582"/>
    <s v="C27435"/>
    <x v="2"/>
    <n v="5"/>
    <n v="420.98"/>
    <s v="860 Main St"/>
    <x v="4"/>
    <x v="3"/>
    <s v="TRK91458233"/>
    <n v="7"/>
    <s v="SAVE10"/>
    <x v="3"/>
    <x v="1001"/>
    <s v="SAVE10"/>
  </r>
  <r>
    <x v="1007"/>
    <x v="591"/>
    <s v="C46651"/>
    <x v="0"/>
    <n v="2"/>
    <n v="73.260000000000005"/>
    <s v="839 Main St"/>
    <x v="4"/>
    <x v="4"/>
    <s v="TRK60444502"/>
    <n v="4"/>
    <s v="WINTER15"/>
    <x v="3"/>
    <x v="1002"/>
    <s v="WINTER15"/>
  </r>
  <r>
    <x v="1008"/>
    <x v="620"/>
    <s v="C62557"/>
    <x v="0"/>
    <n v="3"/>
    <n v="410.88"/>
    <s v="257 Main St"/>
    <x v="4"/>
    <x v="3"/>
    <s v="TRK12742366"/>
    <n v="8"/>
    <s v="FREESHIP"/>
    <x v="0"/>
    <x v="1003"/>
    <s v="FREESHIP"/>
  </r>
  <r>
    <x v="1009"/>
    <x v="621"/>
    <s v="C54494"/>
    <x v="2"/>
    <n v="2"/>
    <n v="176.46"/>
    <s v="696 Main St"/>
    <x v="2"/>
    <x v="3"/>
    <s v="TRK95958645"/>
    <n v="2"/>
    <s v="FREESHIP"/>
    <x v="2"/>
    <x v="1004"/>
    <s v="FREESHIP"/>
  </r>
  <r>
    <x v="1010"/>
    <x v="622"/>
    <s v="C33729"/>
    <x v="0"/>
    <n v="3"/>
    <n v="659.57"/>
    <s v="533 Main St"/>
    <x v="2"/>
    <x v="1"/>
    <s v="TRK35649833"/>
    <n v="6"/>
    <s v="SAVE10"/>
    <x v="2"/>
    <x v="1005"/>
    <s v="SAVE10"/>
  </r>
  <r>
    <x v="1011"/>
    <x v="623"/>
    <s v="C47823"/>
    <x v="1"/>
    <n v="2"/>
    <n v="478.36"/>
    <s v="654 Main St"/>
    <x v="1"/>
    <x v="0"/>
    <s v="TRK22271097"/>
    <n v="3"/>
    <m/>
    <x v="4"/>
    <x v="1006"/>
    <s v="No Coupon"/>
  </r>
  <r>
    <x v="1012"/>
    <x v="623"/>
    <s v="C84570"/>
    <x v="4"/>
    <n v="4"/>
    <n v="30.05"/>
    <s v="301 Main St"/>
    <x v="1"/>
    <x v="2"/>
    <s v="TRK12551882"/>
    <n v="6"/>
    <m/>
    <x v="3"/>
    <x v="1007"/>
    <s v="No Coupon"/>
  </r>
  <r>
    <x v="1013"/>
    <x v="624"/>
    <s v="C91123"/>
    <x v="5"/>
    <n v="4"/>
    <n v="300.56"/>
    <s v="842 Main St"/>
    <x v="4"/>
    <x v="1"/>
    <s v="TRK49568409"/>
    <n v="9"/>
    <s v="FREESHIP"/>
    <x v="3"/>
    <x v="1008"/>
    <s v="FREESHIP"/>
  </r>
  <r>
    <x v="1014"/>
    <x v="389"/>
    <s v="C92548"/>
    <x v="2"/>
    <n v="5"/>
    <n v="226.45"/>
    <s v="160 Main St"/>
    <x v="0"/>
    <x v="2"/>
    <s v="TRK21682892"/>
    <n v="6"/>
    <s v="FREESHIP"/>
    <x v="2"/>
    <x v="1009"/>
    <s v="FREESHIP"/>
  </r>
  <r>
    <x v="1015"/>
    <x v="547"/>
    <s v="C97454"/>
    <x v="4"/>
    <n v="2"/>
    <n v="349.4"/>
    <s v="892 Main St"/>
    <x v="1"/>
    <x v="0"/>
    <s v="TRK73249329"/>
    <n v="2"/>
    <s v="SAVE10"/>
    <x v="0"/>
    <x v="1010"/>
    <s v="SAVE10"/>
  </r>
  <r>
    <x v="1016"/>
    <x v="10"/>
    <s v="C20257"/>
    <x v="2"/>
    <n v="5"/>
    <n v="268.77999999999997"/>
    <s v="669 Main St"/>
    <x v="0"/>
    <x v="3"/>
    <s v="TRK62135578"/>
    <n v="7"/>
    <s v="WINTER15"/>
    <x v="2"/>
    <x v="1011"/>
    <s v="WINTER15"/>
  </r>
  <r>
    <x v="1017"/>
    <x v="625"/>
    <s v="C51694"/>
    <x v="3"/>
    <n v="2"/>
    <n v="680.85"/>
    <s v="953 Main St"/>
    <x v="3"/>
    <x v="3"/>
    <s v="TRK83122112"/>
    <n v="6"/>
    <s v="FREESHIP"/>
    <x v="1"/>
    <x v="1012"/>
    <s v="FREESHIP"/>
  </r>
  <r>
    <x v="1018"/>
    <x v="307"/>
    <s v="C77499"/>
    <x v="5"/>
    <n v="3"/>
    <n v="182.48"/>
    <s v="209 Main St"/>
    <x v="4"/>
    <x v="3"/>
    <s v="TRK20703086"/>
    <n v="3"/>
    <m/>
    <x v="0"/>
    <x v="1013"/>
    <s v="No Coupon"/>
  </r>
  <r>
    <x v="1019"/>
    <x v="616"/>
    <s v="C28386"/>
    <x v="6"/>
    <n v="1"/>
    <n v="277.08999999999997"/>
    <s v="293 Main St"/>
    <x v="4"/>
    <x v="2"/>
    <s v="TRK32954229"/>
    <n v="2"/>
    <s v="SAVE10"/>
    <x v="1"/>
    <x v="1014"/>
    <s v="SAVE10"/>
  </r>
  <r>
    <x v="1020"/>
    <x v="181"/>
    <s v="C50211"/>
    <x v="2"/>
    <n v="2"/>
    <n v="26.5"/>
    <s v="312 Main St"/>
    <x v="1"/>
    <x v="3"/>
    <s v="TRK47787981"/>
    <n v="3"/>
    <s v="SAVE10"/>
    <x v="0"/>
    <x v="1015"/>
    <s v="SAVE10"/>
  </r>
  <r>
    <x v="1021"/>
    <x v="5"/>
    <s v="C74519"/>
    <x v="1"/>
    <n v="3"/>
    <n v="315.27"/>
    <s v="309 Main St"/>
    <x v="2"/>
    <x v="1"/>
    <s v="TRK97351945"/>
    <n v="4"/>
    <s v="SAVE10"/>
    <x v="2"/>
    <x v="1016"/>
    <s v="SAVE10"/>
  </r>
  <r>
    <x v="1022"/>
    <x v="522"/>
    <s v="C19071"/>
    <x v="2"/>
    <n v="3"/>
    <n v="450.98"/>
    <s v="396 Main St"/>
    <x v="2"/>
    <x v="0"/>
    <s v="TRK66537096"/>
    <n v="8"/>
    <s v="SAVE10"/>
    <x v="1"/>
    <x v="1017"/>
    <s v="SAVE10"/>
  </r>
  <r>
    <x v="1023"/>
    <x v="296"/>
    <s v="C65251"/>
    <x v="5"/>
    <n v="5"/>
    <n v="233.67"/>
    <s v="291 Main St"/>
    <x v="4"/>
    <x v="0"/>
    <s v="TRK32059025"/>
    <n v="10"/>
    <m/>
    <x v="1"/>
    <x v="1018"/>
    <s v="No Coupon"/>
  </r>
  <r>
    <x v="1024"/>
    <x v="412"/>
    <s v="C90612"/>
    <x v="3"/>
    <n v="3"/>
    <n v="367.75"/>
    <s v="731 Main St"/>
    <x v="4"/>
    <x v="4"/>
    <s v="TRK93022878"/>
    <n v="7"/>
    <s v="FREESHIP"/>
    <x v="3"/>
    <x v="1019"/>
    <s v="FREESHIP"/>
  </r>
  <r>
    <x v="1025"/>
    <x v="271"/>
    <s v="C28406"/>
    <x v="3"/>
    <n v="1"/>
    <n v="23.53"/>
    <s v="174 Main St"/>
    <x v="3"/>
    <x v="3"/>
    <s v="TRK98841457"/>
    <n v="2"/>
    <s v="FREESHIP"/>
    <x v="0"/>
    <x v="1020"/>
    <s v="FREESHIP"/>
  </r>
  <r>
    <x v="1026"/>
    <x v="31"/>
    <s v="C55454"/>
    <x v="0"/>
    <n v="1"/>
    <n v="677.48"/>
    <s v="807 Main St"/>
    <x v="1"/>
    <x v="3"/>
    <s v="TRK13281370"/>
    <n v="1"/>
    <s v="WINTER15"/>
    <x v="3"/>
    <x v="1021"/>
    <s v="WINTER15"/>
  </r>
  <r>
    <x v="1027"/>
    <x v="626"/>
    <s v="C93467"/>
    <x v="5"/>
    <n v="4"/>
    <n v="554.83000000000004"/>
    <s v="983 Main St"/>
    <x v="4"/>
    <x v="2"/>
    <s v="TRK77377373"/>
    <n v="6"/>
    <m/>
    <x v="4"/>
    <x v="1022"/>
    <s v="No Coupon"/>
  </r>
  <r>
    <x v="1028"/>
    <x v="96"/>
    <s v="C60042"/>
    <x v="6"/>
    <n v="4"/>
    <n v="440.31"/>
    <s v="610 Main St"/>
    <x v="4"/>
    <x v="1"/>
    <s v="TRK84651559"/>
    <n v="6"/>
    <m/>
    <x v="0"/>
    <x v="1023"/>
    <s v="No Coupon"/>
  </r>
  <r>
    <x v="1029"/>
    <x v="627"/>
    <s v="C44733"/>
    <x v="6"/>
    <n v="1"/>
    <n v="87.06"/>
    <s v="851 Main St"/>
    <x v="2"/>
    <x v="0"/>
    <s v="TRK41500198"/>
    <n v="4"/>
    <s v="FREESHIP"/>
    <x v="2"/>
    <x v="1024"/>
    <s v="FREESHIP"/>
  </r>
  <r>
    <x v="1030"/>
    <x v="276"/>
    <s v="C61773"/>
    <x v="1"/>
    <n v="4"/>
    <n v="245.28"/>
    <s v="176 Main St"/>
    <x v="2"/>
    <x v="3"/>
    <s v="TRK12936357"/>
    <n v="6"/>
    <s v="WINTER15"/>
    <x v="2"/>
    <x v="1025"/>
    <s v="WINTER15"/>
  </r>
  <r>
    <x v="1031"/>
    <x v="285"/>
    <s v="C59183"/>
    <x v="1"/>
    <n v="5"/>
    <n v="664.51"/>
    <s v="136 Main St"/>
    <x v="0"/>
    <x v="4"/>
    <s v="TRK18129706"/>
    <n v="8"/>
    <s v="SAVE10"/>
    <x v="2"/>
    <x v="1026"/>
    <s v="SAVE10"/>
  </r>
  <r>
    <x v="1032"/>
    <x v="197"/>
    <s v="C26188"/>
    <x v="3"/>
    <n v="1"/>
    <n v="618.67999999999995"/>
    <s v="990 Main St"/>
    <x v="1"/>
    <x v="3"/>
    <s v="TRK61634201"/>
    <n v="6"/>
    <s v="WINTER15"/>
    <x v="1"/>
    <x v="1027"/>
    <s v="WINTER15"/>
  </r>
  <r>
    <x v="1033"/>
    <x v="628"/>
    <s v="C20338"/>
    <x v="0"/>
    <n v="1"/>
    <n v="370.85"/>
    <s v="331 Main St"/>
    <x v="3"/>
    <x v="3"/>
    <s v="TRK30654048"/>
    <n v="2"/>
    <s v="FREESHIP"/>
    <x v="1"/>
    <x v="1028"/>
    <s v="FREESHIP"/>
  </r>
  <r>
    <x v="1034"/>
    <x v="452"/>
    <s v="C84524"/>
    <x v="4"/>
    <n v="4"/>
    <n v="517.98"/>
    <s v="766 Main St"/>
    <x v="4"/>
    <x v="1"/>
    <s v="TRK76751888"/>
    <n v="8"/>
    <s v="FREESHIP"/>
    <x v="3"/>
    <x v="1029"/>
    <s v="FREESHIP"/>
  </r>
  <r>
    <x v="1035"/>
    <x v="629"/>
    <s v="C70315"/>
    <x v="5"/>
    <n v="4"/>
    <n v="506.11"/>
    <s v="911 Main St"/>
    <x v="4"/>
    <x v="1"/>
    <s v="TRK97732085"/>
    <n v="5"/>
    <m/>
    <x v="1"/>
    <x v="1030"/>
    <s v="No Coupon"/>
  </r>
  <r>
    <x v="1036"/>
    <x v="583"/>
    <s v="C98278"/>
    <x v="1"/>
    <n v="3"/>
    <n v="413.83"/>
    <s v="552 Main St"/>
    <x v="3"/>
    <x v="0"/>
    <s v="TRK49684737"/>
    <n v="8"/>
    <s v="SAVE10"/>
    <x v="3"/>
    <x v="1031"/>
    <s v="SAVE10"/>
  </r>
  <r>
    <x v="1037"/>
    <x v="141"/>
    <s v="C32347"/>
    <x v="4"/>
    <n v="1"/>
    <n v="249.81"/>
    <s v="408 Main St"/>
    <x v="4"/>
    <x v="4"/>
    <s v="TRK54073964"/>
    <n v="1"/>
    <s v="SAVE10"/>
    <x v="4"/>
    <x v="1032"/>
    <s v="SAVE10"/>
  </r>
  <r>
    <x v="1038"/>
    <x v="175"/>
    <s v="C77961"/>
    <x v="2"/>
    <n v="3"/>
    <n v="362.53"/>
    <s v="422 Main St"/>
    <x v="0"/>
    <x v="2"/>
    <s v="TRK28969024"/>
    <n v="5"/>
    <m/>
    <x v="3"/>
    <x v="1033"/>
    <s v="No Coupon"/>
  </r>
  <r>
    <x v="1039"/>
    <x v="164"/>
    <s v="C49137"/>
    <x v="6"/>
    <n v="2"/>
    <n v="299.23"/>
    <s v="177 Main St"/>
    <x v="2"/>
    <x v="1"/>
    <s v="TRK79362428"/>
    <n v="2"/>
    <s v="WINTER15"/>
    <x v="0"/>
    <x v="1034"/>
    <s v="WINTER15"/>
  </r>
  <r>
    <x v="1040"/>
    <x v="375"/>
    <s v="C13169"/>
    <x v="2"/>
    <n v="1"/>
    <n v="536.07000000000005"/>
    <s v="932 Main St"/>
    <x v="0"/>
    <x v="3"/>
    <s v="TRK66288666"/>
    <n v="5"/>
    <s v="FREESHIP"/>
    <x v="4"/>
    <x v="1035"/>
    <s v="FREESHIP"/>
  </r>
  <r>
    <x v="1041"/>
    <x v="91"/>
    <s v="C21167"/>
    <x v="0"/>
    <n v="4"/>
    <n v="558.9"/>
    <s v="948 Main St"/>
    <x v="3"/>
    <x v="0"/>
    <s v="TRK97737564"/>
    <n v="9"/>
    <s v="WINTER15"/>
    <x v="4"/>
    <x v="1036"/>
    <s v="WINTER15"/>
  </r>
  <r>
    <x v="1042"/>
    <x v="65"/>
    <s v="C59724"/>
    <x v="2"/>
    <n v="2"/>
    <n v="409.75"/>
    <s v="414 Main St"/>
    <x v="0"/>
    <x v="0"/>
    <s v="TRK67878272"/>
    <n v="2"/>
    <s v="WINTER15"/>
    <x v="3"/>
    <x v="1037"/>
    <s v="WINTER15"/>
  </r>
  <r>
    <x v="1043"/>
    <x v="630"/>
    <s v="C43965"/>
    <x v="2"/>
    <n v="2"/>
    <n v="179.96"/>
    <s v="675 Main St"/>
    <x v="3"/>
    <x v="0"/>
    <s v="TRK94346739"/>
    <n v="5"/>
    <m/>
    <x v="0"/>
    <x v="1038"/>
    <s v="No Coupon"/>
  </r>
  <r>
    <x v="1044"/>
    <x v="450"/>
    <s v="C63018"/>
    <x v="4"/>
    <n v="1"/>
    <n v="38.49"/>
    <s v="215 Main St"/>
    <x v="2"/>
    <x v="3"/>
    <s v="TRK52335337"/>
    <n v="4"/>
    <s v="FREESHIP"/>
    <x v="1"/>
    <x v="1039"/>
    <s v="FREESHIP"/>
  </r>
  <r>
    <x v="1045"/>
    <x v="28"/>
    <s v="C11893"/>
    <x v="5"/>
    <n v="5"/>
    <n v="316.39999999999998"/>
    <s v="671 Main St"/>
    <x v="3"/>
    <x v="2"/>
    <s v="TRK72012758"/>
    <n v="7"/>
    <m/>
    <x v="2"/>
    <x v="1040"/>
    <s v="No Coupon"/>
  </r>
  <r>
    <x v="1046"/>
    <x v="550"/>
    <s v="C85421"/>
    <x v="2"/>
    <n v="3"/>
    <n v="547.15"/>
    <s v="466 Main St"/>
    <x v="1"/>
    <x v="0"/>
    <s v="TRK16524006"/>
    <n v="4"/>
    <s v="WINTER15"/>
    <x v="0"/>
    <x v="1041"/>
    <s v="WINTER15"/>
  </r>
  <r>
    <x v="1047"/>
    <x v="467"/>
    <s v="C81726"/>
    <x v="3"/>
    <n v="4"/>
    <n v="540.34"/>
    <s v="394 Main St"/>
    <x v="3"/>
    <x v="0"/>
    <s v="TRK69872994"/>
    <n v="6"/>
    <s v="WINTER15"/>
    <x v="1"/>
    <x v="1042"/>
    <s v="WINTER15"/>
  </r>
  <r>
    <x v="1048"/>
    <x v="82"/>
    <s v="C57601"/>
    <x v="0"/>
    <n v="4"/>
    <n v="73.650000000000006"/>
    <s v="889 Main St"/>
    <x v="0"/>
    <x v="0"/>
    <s v="TRK21153699"/>
    <n v="9"/>
    <m/>
    <x v="4"/>
    <x v="1043"/>
    <s v="No Coupon"/>
  </r>
  <r>
    <x v="1049"/>
    <x v="408"/>
    <s v="C60575"/>
    <x v="6"/>
    <n v="5"/>
    <n v="391.86"/>
    <s v="587 Main St"/>
    <x v="2"/>
    <x v="0"/>
    <s v="TRK44468232"/>
    <n v="6"/>
    <m/>
    <x v="0"/>
    <x v="1044"/>
    <s v="No Coupon"/>
  </r>
  <r>
    <x v="1050"/>
    <x v="38"/>
    <s v="C70659"/>
    <x v="5"/>
    <n v="5"/>
    <n v="69.7"/>
    <s v="722 Main St"/>
    <x v="1"/>
    <x v="2"/>
    <s v="TRK49663597"/>
    <n v="9"/>
    <m/>
    <x v="0"/>
    <x v="1045"/>
    <s v="No Coupon"/>
  </r>
  <r>
    <x v="1051"/>
    <x v="376"/>
    <s v="C35043"/>
    <x v="0"/>
    <n v="5"/>
    <n v="26.43"/>
    <s v="820 Main St"/>
    <x v="3"/>
    <x v="0"/>
    <s v="TRK65097450"/>
    <n v="5"/>
    <s v="FREESHIP"/>
    <x v="3"/>
    <x v="1046"/>
    <s v="FREESHIP"/>
  </r>
  <r>
    <x v="1052"/>
    <x v="631"/>
    <s v="C12301"/>
    <x v="2"/>
    <n v="1"/>
    <n v="531.74"/>
    <s v="493 Main St"/>
    <x v="1"/>
    <x v="0"/>
    <s v="TRK25145796"/>
    <n v="1"/>
    <s v="WINTER15"/>
    <x v="4"/>
    <x v="1047"/>
    <s v="WINTER15"/>
  </r>
  <r>
    <x v="1053"/>
    <x v="632"/>
    <s v="C32798"/>
    <x v="1"/>
    <n v="2"/>
    <n v="496.62"/>
    <s v="679 Main St"/>
    <x v="1"/>
    <x v="4"/>
    <s v="TRK37375451"/>
    <n v="2"/>
    <s v="SAVE10"/>
    <x v="0"/>
    <x v="1048"/>
    <s v="SAVE10"/>
  </r>
  <r>
    <x v="1054"/>
    <x v="633"/>
    <s v="C42949"/>
    <x v="4"/>
    <n v="1"/>
    <n v="660.66"/>
    <s v="447 Main St"/>
    <x v="0"/>
    <x v="3"/>
    <s v="TRK46415143"/>
    <n v="3"/>
    <s v="WINTER15"/>
    <x v="0"/>
    <x v="1049"/>
    <s v="WINTER15"/>
  </r>
  <r>
    <x v="1055"/>
    <x v="5"/>
    <s v="C10787"/>
    <x v="0"/>
    <n v="4"/>
    <n v="274.82"/>
    <s v="932 Main St"/>
    <x v="0"/>
    <x v="3"/>
    <s v="TRK91512567"/>
    <n v="9"/>
    <s v="WINTER15"/>
    <x v="2"/>
    <x v="1050"/>
    <s v="WINTER15"/>
  </r>
  <r>
    <x v="1056"/>
    <x v="280"/>
    <s v="C26152"/>
    <x v="1"/>
    <n v="2"/>
    <n v="486.35"/>
    <s v="790 Main St"/>
    <x v="1"/>
    <x v="4"/>
    <s v="TRK49382455"/>
    <n v="6"/>
    <s v="SAVE10"/>
    <x v="1"/>
    <x v="1051"/>
    <s v="SAVE10"/>
  </r>
  <r>
    <x v="1057"/>
    <x v="634"/>
    <s v="C46210"/>
    <x v="5"/>
    <n v="3"/>
    <n v="428.88"/>
    <s v="535 Main St"/>
    <x v="0"/>
    <x v="0"/>
    <s v="TRK81611937"/>
    <n v="3"/>
    <s v="WINTER15"/>
    <x v="3"/>
    <x v="1052"/>
    <s v="WINTER15"/>
  </r>
  <r>
    <x v="1058"/>
    <x v="102"/>
    <s v="C32943"/>
    <x v="6"/>
    <n v="2"/>
    <n v="412.14"/>
    <s v="127 Main St"/>
    <x v="2"/>
    <x v="2"/>
    <s v="TRK26949106"/>
    <n v="2"/>
    <s v="FREESHIP"/>
    <x v="0"/>
    <x v="1053"/>
    <s v="FREESHIP"/>
  </r>
  <r>
    <x v="1059"/>
    <x v="491"/>
    <s v="C73629"/>
    <x v="6"/>
    <n v="1"/>
    <n v="265.64"/>
    <s v="601 Main St"/>
    <x v="2"/>
    <x v="2"/>
    <s v="TRK11492924"/>
    <n v="3"/>
    <s v="WINTER15"/>
    <x v="0"/>
    <x v="1054"/>
    <s v="WINTER15"/>
  </r>
  <r>
    <x v="1060"/>
    <x v="635"/>
    <s v="C38024"/>
    <x v="2"/>
    <n v="2"/>
    <n v="273.43"/>
    <s v="824 Main St"/>
    <x v="4"/>
    <x v="0"/>
    <s v="TRK93370912"/>
    <n v="7"/>
    <s v="WINTER15"/>
    <x v="1"/>
    <x v="1055"/>
    <s v="WINTER15"/>
  </r>
  <r>
    <x v="1061"/>
    <x v="636"/>
    <s v="C25445"/>
    <x v="5"/>
    <n v="5"/>
    <n v="131.69999999999999"/>
    <s v="830 Main St"/>
    <x v="4"/>
    <x v="0"/>
    <s v="TRK12402431"/>
    <n v="8"/>
    <s v="FREESHIP"/>
    <x v="4"/>
    <x v="1056"/>
    <s v="FREESHIP"/>
  </r>
  <r>
    <x v="1062"/>
    <x v="421"/>
    <s v="C13501"/>
    <x v="3"/>
    <n v="5"/>
    <n v="85.52"/>
    <s v="301 Main St"/>
    <x v="3"/>
    <x v="1"/>
    <s v="TRK65149372"/>
    <n v="5"/>
    <m/>
    <x v="3"/>
    <x v="1057"/>
    <s v="No Coupon"/>
  </r>
  <r>
    <x v="1063"/>
    <x v="83"/>
    <s v="C42108"/>
    <x v="6"/>
    <n v="2"/>
    <n v="320.68"/>
    <s v="336 Main St"/>
    <x v="2"/>
    <x v="0"/>
    <s v="TRK58407918"/>
    <n v="5"/>
    <s v="FREESHIP"/>
    <x v="1"/>
    <x v="1058"/>
    <s v="FREESHIP"/>
  </r>
  <r>
    <x v="1064"/>
    <x v="637"/>
    <s v="C32121"/>
    <x v="5"/>
    <n v="4"/>
    <n v="198.81"/>
    <s v="654 Main St"/>
    <x v="4"/>
    <x v="2"/>
    <s v="TRK96074264"/>
    <n v="9"/>
    <s v="FREESHIP"/>
    <x v="1"/>
    <x v="1059"/>
    <s v="FREESHIP"/>
  </r>
  <r>
    <x v="1065"/>
    <x v="638"/>
    <s v="C47778"/>
    <x v="4"/>
    <n v="5"/>
    <n v="666.8"/>
    <s v="488 Main St"/>
    <x v="0"/>
    <x v="3"/>
    <s v="TRK79504329"/>
    <n v="7"/>
    <s v="SAVE10"/>
    <x v="1"/>
    <x v="1060"/>
    <s v="SAVE10"/>
  </r>
  <r>
    <x v="1066"/>
    <x v="639"/>
    <s v="C10791"/>
    <x v="6"/>
    <n v="1"/>
    <n v="355.09"/>
    <s v="674 Main St"/>
    <x v="0"/>
    <x v="1"/>
    <s v="TRK20321248"/>
    <n v="5"/>
    <s v="SAVE10"/>
    <x v="0"/>
    <x v="1061"/>
    <s v="SAVE10"/>
  </r>
  <r>
    <x v="1067"/>
    <x v="640"/>
    <s v="C78959"/>
    <x v="1"/>
    <n v="2"/>
    <n v="316.2"/>
    <s v="384 Main St"/>
    <x v="1"/>
    <x v="2"/>
    <s v="TRK37426359"/>
    <n v="2"/>
    <m/>
    <x v="0"/>
    <x v="1062"/>
    <s v="No Coupon"/>
  </r>
  <r>
    <x v="1068"/>
    <x v="240"/>
    <s v="C29914"/>
    <x v="5"/>
    <n v="1"/>
    <n v="133.38999999999999"/>
    <s v="469 Main St"/>
    <x v="0"/>
    <x v="0"/>
    <s v="TRK22073506"/>
    <n v="2"/>
    <s v="SAVE10"/>
    <x v="1"/>
    <x v="1063"/>
    <s v="SAVE10"/>
  </r>
  <r>
    <x v="1069"/>
    <x v="641"/>
    <s v="C70506"/>
    <x v="0"/>
    <n v="1"/>
    <n v="454.23"/>
    <s v="255 Main St"/>
    <x v="3"/>
    <x v="2"/>
    <s v="TRK12518384"/>
    <n v="3"/>
    <m/>
    <x v="3"/>
    <x v="1064"/>
    <s v="No Coupon"/>
  </r>
  <r>
    <x v="1070"/>
    <x v="605"/>
    <s v="C46873"/>
    <x v="6"/>
    <n v="4"/>
    <n v="491.29"/>
    <s v="496 Main St"/>
    <x v="0"/>
    <x v="4"/>
    <s v="TRK10926575"/>
    <n v="6"/>
    <m/>
    <x v="2"/>
    <x v="1065"/>
    <s v="No Coupon"/>
  </r>
  <r>
    <x v="1071"/>
    <x v="53"/>
    <s v="C94037"/>
    <x v="1"/>
    <n v="2"/>
    <n v="255.14"/>
    <s v="216 Main St"/>
    <x v="4"/>
    <x v="0"/>
    <s v="TRK47536985"/>
    <n v="2"/>
    <m/>
    <x v="4"/>
    <x v="1066"/>
    <s v="No Coupon"/>
  </r>
  <r>
    <x v="1072"/>
    <x v="297"/>
    <s v="C88644"/>
    <x v="0"/>
    <n v="1"/>
    <n v="392.61"/>
    <s v="977 Main St"/>
    <x v="3"/>
    <x v="1"/>
    <s v="TRK14900878"/>
    <n v="4"/>
    <s v="SAVE10"/>
    <x v="1"/>
    <x v="1067"/>
    <s v="SAVE10"/>
  </r>
  <r>
    <x v="1073"/>
    <x v="642"/>
    <s v="C69471"/>
    <x v="2"/>
    <n v="4"/>
    <n v="362.06"/>
    <s v="294 Main St"/>
    <x v="0"/>
    <x v="2"/>
    <s v="TRK11107152"/>
    <n v="4"/>
    <m/>
    <x v="3"/>
    <x v="1068"/>
    <s v="No Coupon"/>
  </r>
  <r>
    <x v="1074"/>
    <x v="451"/>
    <s v="C21437"/>
    <x v="1"/>
    <n v="1"/>
    <n v="222.73"/>
    <s v="120 Main St"/>
    <x v="1"/>
    <x v="2"/>
    <s v="TRK81624772"/>
    <n v="4"/>
    <m/>
    <x v="4"/>
    <x v="1069"/>
    <s v="No Coupon"/>
  </r>
  <r>
    <x v="1075"/>
    <x v="169"/>
    <s v="C40949"/>
    <x v="0"/>
    <n v="2"/>
    <n v="552.63"/>
    <s v="609 Main St"/>
    <x v="0"/>
    <x v="3"/>
    <s v="TRK43066749"/>
    <n v="7"/>
    <s v="WINTER15"/>
    <x v="0"/>
    <x v="1070"/>
    <s v="WINTER15"/>
  </r>
  <r>
    <x v="1076"/>
    <x v="20"/>
    <s v="C99116"/>
    <x v="5"/>
    <n v="4"/>
    <n v="686.61"/>
    <s v="176 Main St"/>
    <x v="4"/>
    <x v="0"/>
    <s v="TRK52711973"/>
    <n v="6"/>
    <m/>
    <x v="1"/>
    <x v="1071"/>
    <s v="No Coupon"/>
  </r>
  <r>
    <x v="1077"/>
    <x v="456"/>
    <s v="C57861"/>
    <x v="4"/>
    <n v="3"/>
    <n v="305.16000000000003"/>
    <s v="115 Main St"/>
    <x v="2"/>
    <x v="1"/>
    <s v="TRK47775217"/>
    <n v="8"/>
    <s v="SAVE10"/>
    <x v="1"/>
    <x v="1072"/>
    <s v="SAVE10"/>
  </r>
  <r>
    <x v="1078"/>
    <x v="168"/>
    <s v="C62627"/>
    <x v="6"/>
    <n v="1"/>
    <n v="41.09"/>
    <s v="881 Main St"/>
    <x v="1"/>
    <x v="2"/>
    <s v="TRK90060232"/>
    <n v="4"/>
    <s v="WINTER15"/>
    <x v="2"/>
    <x v="1073"/>
    <s v="WINTER15"/>
  </r>
  <r>
    <x v="1079"/>
    <x v="643"/>
    <s v="C89979"/>
    <x v="1"/>
    <n v="5"/>
    <n v="634"/>
    <s v="144 Main St"/>
    <x v="3"/>
    <x v="3"/>
    <s v="TRK99055909"/>
    <n v="8"/>
    <m/>
    <x v="2"/>
    <x v="1074"/>
    <s v="No Coupon"/>
  </r>
  <r>
    <x v="1080"/>
    <x v="325"/>
    <s v="C70613"/>
    <x v="5"/>
    <n v="5"/>
    <n v="464.74"/>
    <s v="438 Main St"/>
    <x v="3"/>
    <x v="3"/>
    <s v="TRK33140293"/>
    <n v="7"/>
    <m/>
    <x v="1"/>
    <x v="1075"/>
    <s v="No Coupon"/>
  </r>
  <r>
    <x v="1081"/>
    <x v="453"/>
    <s v="C55636"/>
    <x v="0"/>
    <n v="4"/>
    <n v="425.6"/>
    <s v="494 Main St"/>
    <x v="2"/>
    <x v="4"/>
    <s v="TRK85897054"/>
    <n v="5"/>
    <s v="FREESHIP"/>
    <x v="4"/>
    <x v="1076"/>
    <s v="FREESHIP"/>
  </r>
  <r>
    <x v="1082"/>
    <x v="426"/>
    <s v="C96595"/>
    <x v="3"/>
    <n v="3"/>
    <n v="573.22"/>
    <s v="177 Main St"/>
    <x v="0"/>
    <x v="4"/>
    <s v="TRK59779174"/>
    <n v="5"/>
    <s v="SAVE10"/>
    <x v="2"/>
    <x v="1077"/>
    <s v="SAVE10"/>
  </r>
  <r>
    <x v="1083"/>
    <x v="644"/>
    <s v="C68508"/>
    <x v="3"/>
    <n v="1"/>
    <n v="123.28"/>
    <s v="895 Main St"/>
    <x v="2"/>
    <x v="3"/>
    <s v="TRK98960285"/>
    <n v="3"/>
    <s v="SAVE10"/>
    <x v="2"/>
    <x v="1078"/>
    <s v="SAVE10"/>
  </r>
  <r>
    <x v="1084"/>
    <x v="124"/>
    <s v="C45175"/>
    <x v="1"/>
    <n v="1"/>
    <n v="70.819999999999993"/>
    <s v="128 Main St"/>
    <x v="3"/>
    <x v="4"/>
    <s v="TRK41792296"/>
    <n v="1"/>
    <s v="WINTER15"/>
    <x v="0"/>
    <x v="1079"/>
    <s v="WINTER15"/>
  </r>
  <r>
    <x v="1085"/>
    <x v="54"/>
    <s v="C28049"/>
    <x v="4"/>
    <n v="2"/>
    <n v="646.69000000000005"/>
    <s v="404 Main St"/>
    <x v="0"/>
    <x v="0"/>
    <s v="TRK91426444"/>
    <n v="7"/>
    <s v="WINTER15"/>
    <x v="0"/>
    <x v="1080"/>
    <s v="WINTER15"/>
  </r>
  <r>
    <x v="1086"/>
    <x v="475"/>
    <s v="C46967"/>
    <x v="2"/>
    <n v="2"/>
    <n v="513.41999999999996"/>
    <s v="401 Main St"/>
    <x v="1"/>
    <x v="4"/>
    <s v="TRK91439791"/>
    <n v="5"/>
    <s v="WINTER15"/>
    <x v="0"/>
    <x v="1081"/>
    <s v="WINTER15"/>
  </r>
  <r>
    <x v="1087"/>
    <x v="411"/>
    <s v="C84134"/>
    <x v="5"/>
    <n v="4"/>
    <n v="693.07"/>
    <s v="530 Main St"/>
    <x v="1"/>
    <x v="0"/>
    <s v="TRK48659380"/>
    <n v="8"/>
    <s v="SAVE10"/>
    <x v="0"/>
    <x v="1082"/>
    <s v="SAVE10"/>
  </r>
  <r>
    <x v="1088"/>
    <x v="115"/>
    <s v="C49831"/>
    <x v="6"/>
    <n v="3"/>
    <n v="491.43"/>
    <s v="213 Main St"/>
    <x v="3"/>
    <x v="0"/>
    <s v="TRK21232601"/>
    <n v="6"/>
    <s v="WINTER15"/>
    <x v="0"/>
    <x v="1083"/>
    <s v="WINTER15"/>
  </r>
  <r>
    <x v="1089"/>
    <x v="175"/>
    <s v="C13324"/>
    <x v="2"/>
    <n v="2"/>
    <n v="599.74"/>
    <s v="440 Main St"/>
    <x v="3"/>
    <x v="0"/>
    <s v="TRK66967997"/>
    <n v="2"/>
    <m/>
    <x v="0"/>
    <x v="1084"/>
    <s v="No Coupon"/>
  </r>
  <r>
    <x v="1090"/>
    <x v="641"/>
    <s v="C61225"/>
    <x v="0"/>
    <n v="2"/>
    <n v="650.25"/>
    <s v="996 Main St"/>
    <x v="3"/>
    <x v="2"/>
    <s v="TRK37022954"/>
    <n v="6"/>
    <m/>
    <x v="0"/>
    <x v="1085"/>
    <s v="No Coupon"/>
  </r>
  <r>
    <x v="1091"/>
    <x v="192"/>
    <s v="C16400"/>
    <x v="5"/>
    <n v="3"/>
    <n v="209.48"/>
    <s v="123 Main St"/>
    <x v="0"/>
    <x v="4"/>
    <s v="TRK57771859"/>
    <n v="4"/>
    <m/>
    <x v="2"/>
    <x v="1086"/>
    <s v="No Coupon"/>
  </r>
  <r>
    <x v="1092"/>
    <x v="531"/>
    <s v="C38642"/>
    <x v="5"/>
    <n v="5"/>
    <n v="209.2"/>
    <s v="930 Main St"/>
    <x v="0"/>
    <x v="3"/>
    <s v="TRK47744396"/>
    <n v="6"/>
    <s v="WINTER15"/>
    <x v="2"/>
    <x v="1087"/>
    <s v="WINTER15"/>
  </r>
  <r>
    <x v="1093"/>
    <x v="308"/>
    <s v="C86773"/>
    <x v="1"/>
    <n v="4"/>
    <n v="197.36"/>
    <s v="557 Main St"/>
    <x v="3"/>
    <x v="2"/>
    <s v="TRK22612240"/>
    <n v="9"/>
    <s v="FREESHIP"/>
    <x v="0"/>
    <x v="1088"/>
    <s v="FREESHIP"/>
  </r>
  <r>
    <x v="1094"/>
    <x v="342"/>
    <s v="C66093"/>
    <x v="4"/>
    <n v="4"/>
    <n v="648.91"/>
    <s v="615 Main St"/>
    <x v="2"/>
    <x v="0"/>
    <s v="TRK54950785"/>
    <n v="6"/>
    <s v="SAVE10"/>
    <x v="0"/>
    <x v="1089"/>
    <s v="SAVE10"/>
  </r>
  <r>
    <x v="1095"/>
    <x v="234"/>
    <s v="C33051"/>
    <x v="1"/>
    <n v="2"/>
    <n v="441.54"/>
    <s v="397 Main St"/>
    <x v="1"/>
    <x v="3"/>
    <s v="TRK92929755"/>
    <n v="2"/>
    <s v="SAVE10"/>
    <x v="2"/>
    <x v="1090"/>
    <s v="SAVE10"/>
  </r>
  <r>
    <x v="1096"/>
    <x v="120"/>
    <s v="C18169"/>
    <x v="2"/>
    <n v="2"/>
    <n v="464.92"/>
    <s v="782 Main St"/>
    <x v="0"/>
    <x v="2"/>
    <s v="TRK49482923"/>
    <n v="2"/>
    <m/>
    <x v="3"/>
    <x v="1091"/>
    <s v="No Coupon"/>
  </r>
  <r>
    <x v="1097"/>
    <x v="645"/>
    <s v="C81370"/>
    <x v="0"/>
    <n v="5"/>
    <n v="506.45"/>
    <s v="344 Main St"/>
    <x v="3"/>
    <x v="0"/>
    <s v="TRK99682998"/>
    <n v="7"/>
    <s v="WINTER15"/>
    <x v="4"/>
    <x v="1092"/>
    <s v="WINTER15"/>
  </r>
  <r>
    <x v="1098"/>
    <x v="646"/>
    <s v="C91103"/>
    <x v="0"/>
    <n v="4"/>
    <n v="255.86"/>
    <s v="155 Main St"/>
    <x v="2"/>
    <x v="3"/>
    <s v="TRK91653000"/>
    <n v="7"/>
    <m/>
    <x v="2"/>
    <x v="1093"/>
    <s v="No Coupon"/>
  </r>
  <r>
    <x v="1099"/>
    <x v="556"/>
    <s v="C21953"/>
    <x v="5"/>
    <n v="2"/>
    <n v="125.23"/>
    <s v="272 Main St"/>
    <x v="4"/>
    <x v="1"/>
    <s v="TRK60774796"/>
    <n v="3"/>
    <s v="FREESHIP"/>
    <x v="2"/>
    <x v="1094"/>
    <s v="FREESHIP"/>
  </r>
  <r>
    <x v="1100"/>
    <x v="538"/>
    <s v="C15146"/>
    <x v="5"/>
    <n v="5"/>
    <n v="38.11"/>
    <s v="428 Main St"/>
    <x v="0"/>
    <x v="1"/>
    <s v="TRK79790530"/>
    <n v="6"/>
    <s v="WINTER15"/>
    <x v="0"/>
    <x v="1095"/>
    <s v="WINTER15"/>
  </r>
  <r>
    <x v="1101"/>
    <x v="647"/>
    <s v="C43546"/>
    <x v="0"/>
    <n v="3"/>
    <n v="161.97"/>
    <s v="904 Main St"/>
    <x v="4"/>
    <x v="4"/>
    <s v="TRK85871121"/>
    <n v="4"/>
    <s v="SAVE10"/>
    <x v="2"/>
    <x v="1096"/>
    <s v="SAVE10"/>
  </r>
  <r>
    <x v="1102"/>
    <x v="561"/>
    <s v="C98474"/>
    <x v="3"/>
    <n v="4"/>
    <n v="347.17"/>
    <s v="997 Main St"/>
    <x v="0"/>
    <x v="0"/>
    <s v="TRK86192984"/>
    <n v="8"/>
    <m/>
    <x v="0"/>
    <x v="1097"/>
    <s v="No Coupon"/>
  </r>
  <r>
    <x v="1103"/>
    <x v="648"/>
    <s v="C90292"/>
    <x v="5"/>
    <n v="4"/>
    <n v="276.32"/>
    <s v="129 Main St"/>
    <x v="1"/>
    <x v="3"/>
    <s v="TRK26270357"/>
    <n v="5"/>
    <m/>
    <x v="4"/>
    <x v="1098"/>
    <s v="No Coupon"/>
  </r>
  <r>
    <x v="1104"/>
    <x v="568"/>
    <s v="C17075"/>
    <x v="2"/>
    <n v="4"/>
    <n v="314.76"/>
    <s v="850 Main St"/>
    <x v="1"/>
    <x v="0"/>
    <s v="TRK63547510"/>
    <n v="8"/>
    <m/>
    <x v="0"/>
    <x v="1099"/>
    <s v="No Coupon"/>
  </r>
  <r>
    <x v="1105"/>
    <x v="649"/>
    <s v="C12487"/>
    <x v="2"/>
    <n v="3"/>
    <n v="475.69"/>
    <s v="884 Main St"/>
    <x v="3"/>
    <x v="1"/>
    <s v="TRK23324770"/>
    <n v="3"/>
    <s v="FREESHIP"/>
    <x v="4"/>
    <x v="1100"/>
    <s v="FREESHIP"/>
  </r>
  <r>
    <x v="1106"/>
    <x v="255"/>
    <s v="C34555"/>
    <x v="3"/>
    <n v="1"/>
    <n v="372.8"/>
    <s v="903 Main St"/>
    <x v="4"/>
    <x v="1"/>
    <s v="TRK72859458"/>
    <n v="6"/>
    <s v="SAVE10"/>
    <x v="3"/>
    <x v="1101"/>
    <s v="SAVE10"/>
  </r>
  <r>
    <x v="1107"/>
    <x v="233"/>
    <s v="C25110"/>
    <x v="2"/>
    <n v="2"/>
    <n v="63.21"/>
    <s v="282 Main St"/>
    <x v="1"/>
    <x v="1"/>
    <s v="TRK80963328"/>
    <n v="4"/>
    <s v="SAVE10"/>
    <x v="4"/>
    <x v="1102"/>
    <s v="SAVE10"/>
  </r>
  <r>
    <x v="1108"/>
    <x v="650"/>
    <s v="C35136"/>
    <x v="5"/>
    <n v="1"/>
    <n v="634.94000000000005"/>
    <s v="462 Main St"/>
    <x v="1"/>
    <x v="1"/>
    <s v="TRK49753703"/>
    <n v="5"/>
    <s v="WINTER15"/>
    <x v="0"/>
    <x v="1103"/>
    <s v="WINTER15"/>
  </r>
  <r>
    <x v="1109"/>
    <x v="651"/>
    <s v="C62277"/>
    <x v="4"/>
    <n v="4"/>
    <n v="77.47"/>
    <s v="474 Main St"/>
    <x v="3"/>
    <x v="2"/>
    <s v="TRK32026174"/>
    <n v="7"/>
    <s v="SAVE10"/>
    <x v="0"/>
    <x v="1104"/>
    <s v="SAVE10"/>
  </r>
  <r>
    <x v="1110"/>
    <x v="402"/>
    <s v="C12472"/>
    <x v="3"/>
    <n v="3"/>
    <n v="84.31"/>
    <s v="912 Main St"/>
    <x v="2"/>
    <x v="0"/>
    <s v="TRK36103184"/>
    <n v="3"/>
    <s v="SAVE10"/>
    <x v="2"/>
    <x v="1105"/>
    <s v="SAVE10"/>
  </r>
  <r>
    <x v="1111"/>
    <x v="306"/>
    <s v="C24047"/>
    <x v="0"/>
    <n v="4"/>
    <n v="234.45"/>
    <s v="362 Main St"/>
    <x v="1"/>
    <x v="1"/>
    <s v="TRK91338580"/>
    <n v="9"/>
    <s v="FREESHIP"/>
    <x v="0"/>
    <x v="1106"/>
    <s v="FREESHIP"/>
  </r>
  <r>
    <x v="1112"/>
    <x v="652"/>
    <s v="C76929"/>
    <x v="6"/>
    <n v="1"/>
    <n v="356.81"/>
    <s v="563 Main St"/>
    <x v="1"/>
    <x v="3"/>
    <s v="TRK80694400"/>
    <n v="1"/>
    <s v="WINTER15"/>
    <x v="0"/>
    <x v="1107"/>
    <s v="WINTER15"/>
  </r>
  <r>
    <x v="1113"/>
    <x v="111"/>
    <s v="C52914"/>
    <x v="6"/>
    <n v="4"/>
    <n v="209.99"/>
    <s v="168 Main St"/>
    <x v="4"/>
    <x v="3"/>
    <s v="TRK80819053"/>
    <n v="8"/>
    <m/>
    <x v="4"/>
    <x v="1108"/>
    <s v="No Coupon"/>
  </r>
  <r>
    <x v="1114"/>
    <x v="653"/>
    <s v="C55164"/>
    <x v="2"/>
    <n v="3"/>
    <n v="659.88"/>
    <s v="609 Main St"/>
    <x v="3"/>
    <x v="1"/>
    <s v="TRK79610967"/>
    <n v="3"/>
    <m/>
    <x v="4"/>
    <x v="1109"/>
    <s v="No Coupon"/>
  </r>
  <r>
    <x v="1115"/>
    <x v="126"/>
    <s v="C70426"/>
    <x v="5"/>
    <n v="2"/>
    <n v="336.32"/>
    <s v="562 Main St"/>
    <x v="1"/>
    <x v="2"/>
    <s v="TRK89687816"/>
    <n v="3"/>
    <m/>
    <x v="4"/>
    <x v="1110"/>
    <s v="No Coupon"/>
  </r>
  <r>
    <x v="1116"/>
    <x v="612"/>
    <s v="C69149"/>
    <x v="4"/>
    <n v="2"/>
    <n v="531.49"/>
    <s v="562 Main St"/>
    <x v="2"/>
    <x v="3"/>
    <s v="TRK61265132"/>
    <n v="7"/>
    <s v="WINTER15"/>
    <x v="3"/>
    <x v="1111"/>
    <s v="WINTER15"/>
  </r>
  <r>
    <x v="1117"/>
    <x v="199"/>
    <s v="C78684"/>
    <x v="3"/>
    <n v="3"/>
    <n v="588.44000000000005"/>
    <s v="858 Main St"/>
    <x v="3"/>
    <x v="0"/>
    <s v="TRK95779073"/>
    <n v="8"/>
    <s v="WINTER15"/>
    <x v="4"/>
    <x v="1112"/>
    <s v="WINTER15"/>
  </r>
  <r>
    <x v="1118"/>
    <x v="75"/>
    <s v="C58168"/>
    <x v="1"/>
    <n v="3"/>
    <n v="251.48"/>
    <s v="359 Main St"/>
    <x v="2"/>
    <x v="2"/>
    <s v="TRK99102265"/>
    <n v="4"/>
    <m/>
    <x v="2"/>
    <x v="1113"/>
    <s v="No Coupon"/>
  </r>
  <r>
    <x v="1119"/>
    <x v="167"/>
    <s v="C99024"/>
    <x v="5"/>
    <n v="1"/>
    <n v="684.65"/>
    <s v="250 Main St"/>
    <x v="2"/>
    <x v="3"/>
    <s v="TRK24675988"/>
    <n v="1"/>
    <s v="FREESHIP"/>
    <x v="2"/>
    <x v="1114"/>
    <s v="FREESHIP"/>
  </r>
  <r>
    <x v="1120"/>
    <x v="400"/>
    <s v="C22919"/>
    <x v="2"/>
    <n v="1"/>
    <n v="195.86"/>
    <s v="267 Main St"/>
    <x v="1"/>
    <x v="4"/>
    <s v="TRK82416295"/>
    <n v="3"/>
    <m/>
    <x v="3"/>
    <x v="1115"/>
    <s v="No Coupon"/>
  </r>
  <r>
    <x v="1121"/>
    <x v="654"/>
    <s v="C98354"/>
    <x v="1"/>
    <n v="3"/>
    <n v="50.34"/>
    <s v="393 Main St"/>
    <x v="3"/>
    <x v="2"/>
    <s v="TRK43070888"/>
    <n v="3"/>
    <s v="FREESHIP"/>
    <x v="0"/>
    <x v="1116"/>
    <s v="FREESHIP"/>
  </r>
  <r>
    <x v="1122"/>
    <x v="323"/>
    <s v="C38840"/>
    <x v="0"/>
    <n v="5"/>
    <n v="678.19"/>
    <s v="766 Main St"/>
    <x v="1"/>
    <x v="2"/>
    <s v="TRK32496970"/>
    <n v="8"/>
    <m/>
    <x v="3"/>
    <x v="1117"/>
    <s v="No Coupon"/>
  </r>
  <r>
    <x v="1123"/>
    <x v="655"/>
    <s v="C68936"/>
    <x v="2"/>
    <n v="3"/>
    <n v="554.25"/>
    <s v="843 Main St"/>
    <x v="0"/>
    <x v="0"/>
    <s v="TRK73163634"/>
    <n v="6"/>
    <s v="WINTER15"/>
    <x v="1"/>
    <x v="1118"/>
    <s v="WINTER15"/>
  </r>
  <r>
    <x v="1124"/>
    <x v="221"/>
    <s v="C33744"/>
    <x v="3"/>
    <n v="4"/>
    <n v="576.87"/>
    <s v="888 Main St"/>
    <x v="3"/>
    <x v="2"/>
    <s v="TRK40245983"/>
    <n v="5"/>
    <m/>
    <x v="0"/>
    <x v="1119"/>
    <s v="No Coupon"/>
  </r>
  <r>
    <x v="1125"/>
    <x v="504"/>
    <s v="C23555"/>
    <x v="6"/>
    <n v="4"/>
    <n v="408.36"/>
    <s v="156 Main St"/>
    <x v="3"/>
    <x v="1"/>
    <s v="TRK67210247"/>
    <n v="4"/>
    <s v="FREESHIP"/>
    <x v="1"/>
    <x v="1120"/>
    <s v="FREESHIP"/>
  </r>
  <r>
    <x v="1126"/>
    <x v="319"/>
    <s v="C34337"/>
    <x v="1"/>
    <n v="5"/>
    <n v="190.11"/>
    <s v="325 Main St"/>
    <x v="4"/>
    <x v="3"/>
    <s v="TRK36195559"/>
    <n v="7"/>
    <s v="SAVE10"/>
    <x v="4"/>
    <x v="1121"/>
    <s v="SAVE10"/>
  </r>
  <r>
    <x v="1127"/>
    <x v="175"/>
    <s v="C69396"/>
    <x v="4"/>
    <n v="3"/>
    <n v="602.75"/>
    <s v="920 Main St"/>
    <x v="2"/>
    <x v="0"/>
    <s v="TRK33155049"/>
    <n v="6"/>
    <s v="SAVE10"/>
    <x v="2"/>
    <x v="1122"/>
    <s v="SAVE10"/>
  </r>
  <r>
    <x v="1128"/>
    <x v="538"/>
    <s v="C49198"/>
    <x v="0"/>
    <n v="3"/>
    <n v="646.79"/>
    <s v="447 Main St"/>
    <x v="4"/>
    <x v="1"/>
    <s v="TRK10883354"/>
    <n v="5"/>
    <s v="WINTER15"/>
    <x v="4"/>
    <x v="1123"/>
    <s v="WINTER15"/>
  </r>
  <r>
    <x v="1129"/>
    <x v="236"/>
    <s v="C43911"/>
    <x v="3"/>
    <n v="4"/>
    <n v="418.71"/>
    <s v="239 Main St"/>
    <x v="4"/>
    <x v="4"/>
    <s v="TRK37495481"/>
    <n v="8"/>
    <s v="FREESHIP"/>
    <x v="0"/>
    <x v="1124"/>
    <s v="FREESHIP"/>
  </r>
  <r>
    <x v="1130"/>
    <x v="656"/>
    <s v="C24347"/>
    <x v="5"/>
    <n v="2"/>
    <n v="323.45"/>
    <s v="533 Main St"/>
    <x v="2"/>
    <x v="2"/>
    <s v="TRK27233265"/>
    <n v="5"/>
    <s v="FREESHIP"/>
    <x v="0"/>
    <x v="1125"/>
    <s v="FREESHIP"/>
  </r>
  <r>
    <x v="1131"/>
    <x v="408"/>
    <s v="C21043"/>
    <x v="1"/>
    <n v="1"/>
    <n v="694.5"/>
    <s v="195 Main St"/>
    <x v="2"/>
    <x v="4"/>
    <s v="TRK41691086"/>
    <n v="3"/>
    <s v="WINTER15"/>
    <x v="3"/>
    <x v="1126"/>
    <s v="WINTER15"/>
  </r>
  <r>
    <x v="1132"/>
    <x v="657"/>
    <s v="C58858"/>
    <x v="3"/>
    <n v="2"/>
    <n v="337.32"/>
    <s v="948 Main St"/>
    <x v="2"/>
    <x v="1"/>
    <s v="TRK30406357"/>
    <n v="4"/>
    <s v="SAVE10"/>
    <x v="2"/>
    <x v="1127"/>
    <s v="SAVE10"/>
  </r>
  <r>
    <x v="1133"/>
    <x v="398"/>
    <s v="C20670"/>
    <x v="4"/>
    <n v="2"/>
    <n v="467.91"/>
    <s v="432 Main St"/>
    <x v="3"/>
    <x v="2"/>
    <s v="TRK76731303"/>
    <n v="5"/>
    <s v="WINTER15"/>
    <x v="3"/>
    <x v="1128"/>
    <s v="WINTER15"/>
  </r>
  <r>
    <x v="1134"/>
    <x v="180"/>
    <s v="C90993"/>
    <x v="6"/>
    <n v="4"/>
    <n v="38.28"/>
    <s v="950 Main St"/>
    <x v="0"/>
    <x v="1"/>
    <s v="TRK53964711"/>
    <n v="4"/>
    <s v="WINTER15"/>
    <x v="3"/>
    <x v="1129"/>
    <s v="WINTER15"/>
  </r>
  <r>
    <x v="1135"/>
    <x v="153"/>
    <s v="C11473"/>
    <x v="4"/>
    <n v="2"/>
    <n v="73.41"/>
    <s v="562 Main St"/>
    <x v="1"/>
    <x v="0"/>
    <s v="TRK97793275"/>
    <n v="2"/>
    <s v="SAVE10"/>
    <x v="4"/>
    <x v="1130"/>
    <s v="SAVE10"/>
  </r>
  <r>
    <x v="1136"/>
    <x v="463"/>
    <s v="C71899"/>
    <x v="2"/>
    <n v="3"/>
    <n v="668.33"/>
    <s v="799 Main St"/>
    <x v="3"/>
    <x v="4"/>
    <s v="TRK34856025"/>
    <n v="4"/>
    <s v="WINTER15"/>
    <x v="3"/>
    <x v="1131"/>
    <s v="WINTER15"/>
  </r>
  <r>
    <x v="1137"/>
    <x v="511"/>
    <s v="C48577"/>
    <x v="4"/>
    <n v="4"/>
    <n v="410.21"/>
    <s v="841 Main St"/>
    <x v="4"/>
    <x v="4"/>
    <s v="TRK59911645"/>
    <n v="5"/>
    <s v="WINTER15"/>
    <x v="0"/>
    <x v="1132"/>
    <s v="WINTER15"/>
  </r>
  <r>
    <x v="1138"/>
    <x v="552"/>
    <s v="C13100"/>
    <x v="6"/>
    <n v="4"/>
    <n v="294.41000000000003"/>
    <s v="188 Main St"/>
    <x v="0"/>
    <x v="4"/>
    <s v="TRK55565668"/>
    <n v="4"/>
    <m/>
    <x v="0"/>
    <x v="1133"/>
    <s v="No Coupon"/>
  </r>
  <r>
    <x v="1139"/>
    <x v="627"/>
    <s v="C70659"/>
    <x v="3"/>
    <n v="3"/>
    <n v="501.82"/>
    <s v="568 Main St"/>
    <x v="3"/>
    <x v="1"/>
    <s v="TRK28290825"/>
    <n v="4"/>
    <s v="FREESHIP"/>
    <x v="2"/>
    <x v="1134"/>
    <s v="FREESHIP"/>
  </r>
  <r>
    <x v="1140"/>
    <x v="658"/>
    <s v="C49838"/>
    <x v="4"/>
    <n v="2"/>
    <n v="552.83000000000004"/>
    <s v="904 Main St"/>
    <x v="2"/>
    <x v="1"/>
    <s v="TRK38297718"/>
    <n v="3"/>
    <m/>
    <x v="1"/>
    <x v="1135"/>
    <s v="No Coupon"/>
  </r>
  <r>
    <x v="1141"/>
    <x v="656"/>
    <s v="C11998"/>
    <x v="3"/>
    <n v="3"/>
    <n v="498.66"/>
    <s v="382 Main St"/>
    <x v="4"/>
    <x v="1"/>
    <s v="TRK26707221"/>
    <n v="6"/>
    <m/>
    <x v="2"/>
    <x v="1136"/>
    <s v="No Coupon"/>
  </r>
  <r>
    <x v="1142"/>
    <x v="1"/>
    <s v="C23405"/>
    <x v="1"/>
    <n v="4"/>
    <n v="695.1"/>
    <s v="484 Main St"/>
    <x v="0"/>
    <x v="2"/>
    <s v="TRK83678708"/>
    <n v="8"/>
    <m/>
    <x v="2"/>
    <x v="1137"/>
    <s v="No Coupon"/>
  </r>
  <r>
    <x v="1143"/>
    <x v="659"/>
    <s v="C41132"/>
    <x v="3"/>
    <n v="1"/>
    <n v="381.61"/>
    <s v="114 Main St"/>
    <x v="0"/>
    <x v="4"/>
    <s v="TRK51040137"/>
    <n v="5"/>
    <m/>
    <x v="2"/>
    <x v="1138"/>
    <s v="No Coupon"/>
  </r>
  <r>
    <x v="1144"/>
    <x v="223"/>
    <s v="C88463"/>
    <x v="6"/>
    <n v="5"/>
    <n v="507.94"/>
    <s v="292 Main St"/>
    <x v="1"/>
    <x v="1"/>
    <s v="TRK88749996"/>
    <n v="9"/>
    <m/>
    <x v="3"/>
    <x v="1139"/>
    <s v="No Coupon"/>
  </r>
  <r>
    <x v="1145"/>
    <x v="275"/>
    <s v="C28152"/>
    <x v="6"/>
    <n v="3"/>
    <n v="571.53"/>
    <s v="821 Main St"/>
    <x v="0"/>
    <x v="3"/>
    <s v="TRK59642814"/>
    <n v="6"/>
    <s v="FREESHIP"/>
    <x v="3"/>
    <x v="1140"/>
    <s v="FREESHIP"/>
  </r>
  <r>
    <x v="1146"/>
    <x v="525"/>
    <s v="C36383"/>
    <x v="0"/>
    <n v="5"/>
    <n v="421.44"/>
    <s v="286 Main St"/>
    <x v="4"/>
    <x v="4"/>
    <s v="TRK93336357"/>
    <n v="5"/>
    <s v="SAVE10"/>
    <x v="0"/>
    <x v="1141"/>
    <s v="SAVE10"/>
  </r>
  <r>
    <x v="1147"/>
    <x v="143"/>
    <s v="C19759"/>
    <x v="3"/>
    <n v="2"/>
    <n v="588.29999999999995"/>
    <s v="234 Main St"/>
    <x v="1"/>
    <x v="4"/>
    <s v="TRK22515454"/>
    <n v="2"/>
    <s v="FREESHIP"/>
    <x v="2"/>
    <x v="1142"/>
    <s v="FREESHIP"/>
  </r>
  <r>
    <x v="1148"/>
    <x v="611"/>
    <s v="C54886"/>
    <x v="1"/>
    <n v="1"/>
    <n v="355.15"/>
    <s v="442 Main St"/>
    <x v="4"/>
    <x v="2"/>
    <s v="TRK66241930"/>
    <n v="2"/>
    <s v="SAVE10"/>
    <x v="2"/>
    <x v="1143"/>
    <s v="SAVE10"/>
  </r>
  <r>
    <x v="1149"/>
    <x v="568"/>
    <s v="C27305"/>
    <x v="3"/>
    <n v="2"/>
    <n v="695.29"/>
    <s v="957 Main St"/>
    <x v="2"/>
    <x v="4"/>
    <s v="TRK28789916"/>
    <n v="6"/>
    <s v="FREESHIP"/>
    <x v="0"/>
    <x v="1144"/>
    <s v="FREESHIP"/>
  </r>
  <r>
    <x v="1150"/>
    <x v="215"/>
    <s v="C17921"/>
    <x v="6"/>
    <n v="4"/>
    <n v="302.64999999999998"/>
    <s v="119 Main St"/>
    <x v="2"/>
    <x v="1"/>
    <s v="TRK79291524"/>
    <n v="8"/>
    <s v="SAVE10"/>
    <x v="1"/>
    <x v="1145"/>
    <s v="SAVE10"/>
  </r>
  <r>
    <x v="1151"/>
    <x v="22"/>
    <s v="C94381"/>
    <x v="3"/>
    <n v="2"/>
    <n v="608.04"/>
    <s v="962 Main St"/>
    <x v="4"/>
    <x v="1"/>
    <s v="TRK69804304"/>
    <n v="4"/>
    <m/>
    <x v="4"/>
    <x v="1146"/>
    <s v="No Coupon"/>
  </r>
  <r>
    <x v="1152"/>
    <x v="576"/>
    <s v="C25162"/>
    <x v="2"/>
    <n v="2"/>
    <n v="344.18"/>
    <s v="533 Main St"/>
    <x v="2"/>
    <x v="0"/>
    <s v="TRK42183078"/>
    <n v="7"/>
    <m/>
    <x v="1"/>
    <x v="1147"/>
    <s v="No Coupon"/>
  </r>
  <r>
    <x v="1153"/>
    <x v="393"/>
    <s v="C98317"/>
    <x v="0"/>
    <n v="4"/>
    <n v="696.71"/>
    <s v="276 Main St"/>
    <x v="0"/>
    <x v="0"/>
    <s v="TRK37172138"/>
    <n v="4"/>
    <m/>
    <x v="0"/>
    <x v="1148"/>
    <s v="No Coupon"/>
  </r>
  <r>
    <x v="1154"/>
    <x v="113"/>
    <s v="C53631"/>
    <x v="0"/>
    <n v="3"/>
    <n v="198.63"/>
    <s v="593 Main St"/>
    <x v="4"/>
    <x v="4"/>
    <s v="TRK67589167"/>
    <n v="8"/>
    <s v="SAVE10"/>
    <x v="0"/>
    <x v="1149"/>
    <s v="SAVE10"/>
  </r>
  <r>
    <x v="1155"/>
    <x v="340"/>
    <s v="C41478"/>
    <x v="4"/>
    <n v="4"/>
    <n v="534.57000000000005"/>
    <s v="667 Main St"/>
    <x v="2"/>
    <x v="3"/>
    <s v="TRK62068126"/>
    <n v="6"/>
    <s v="FREESHIP"/>
    <x v="3"/>
    <x v="1150"/>
    <s v="FREESHIP"/>
  </r>
  <r>
    <x v="1156"/>
    <x v="45"/>
    <s v="C20512"/>
    <x v="5"/>
    <n v="4"/>
    <n v="690.78"/>
    <s v="980 Main St"/>
    <x v="2"/>
    <x v="0"/>
    <s v="TRK98234737"/>
    <n v="9"/>
    <m/>
    <x v="1"/>
    <x v="1151"/>
    <s v="No Coupon"/>
  </r>
  <r>
    <x v="1157"/>
    <x v="382"/>
    <s v="C25841"/>
    <x v="0"/>
    <n v="3"/>
    <n v="301.55"/>
    <s v="242 Main St"/>
    <x v="0"/>
    <x v="3"/>
    <s v="TRK21451375"/>
    <n v="5"/>
    <s v="FREESHIP"/>
    <x v="4"/>
    <x v="1152"/>
    <s v="FREESHIP"/>
  </r>
  <r>
    <x v="1158"/>
    <x v="197"/>
    <s v="C82781"/>
    <x v="0"/>
    <n v="4"/>
    <n v="27.42"/>
    <s v="661 Main St"/>
    <x v="0"/>
    <x v="4"/>
    <s v="TRK20605418"/>
    <n v="4"/>
    <s v="SAVE10"/>
    <x v="1"/>
    <x v="1153"/>
    <s v="SAVE10"/>
  </r>
  <r>
    <x v="1159"/>
    <x v="203"/>
    <s v="C66112"/>
    <x v="6"/>
    <n v="4"/>
    <n v="466.7"/>
    <s v="874 Main St"/>
    <x v="0"/>
    <x v="2"/>
    <s v="TRK60955607"/>
    <n v="8"/>
    <m/>
    <x v="0"/>
    <x v="1154"/>
    <s v="No Coupon"/>
  </r>
  <r>
    <x v="1160"/>
    <x v="333"/>
    <s v="C40466"/>
    <x v="6"/>
    <n v="1"/>
    <n v="541.64"/>
    <s v="449 Main St"/>
    <x v="0"/>
    <x v="0"/>
    <s v="TRK70255168"/>
    <n v="5"/>
    <s v="SAVE10"/>
    <x v="2"/>
    <x v="1155"/>
    <s v="SAVE10"/>
  </r>
  <r>
    <x v="1161"/>
    <x v="504"/>
    <s v="C32570"/>
    <x v="1"/>
    <n v="1"/>
    <n v="11.39"/>
    <s v="826 Main St"/>
    <x v="4"/>
    <x v="1"/>
    <s v="TRK35969968"/>
    <n v="6"/>
    <s v="WINTER15"/>
    <x v="2"/>
    <x v="1156"/>
    <s v="WINTER15"/>
  </r>
  <r>
    <x v="1162"/>
    <x v="660"/>
    <s v="C29405"/>
    <x v="1"/>
    <n v="2"/>
    <n v="224.37"/>
    <s v="251 Main St"/>
    <x v="0"/>
    <x v="3"/>
    <s v="TRK33125798"/>
    <n v="3"/>
    <s v="WINTER15"/>
    <x v="1"/>
    <x v="1157"/>
    <s v="WINTER15"/>
  </r>
  <r>
    <x v="1163"/>
    <x v="184"/>
    <s v="C30643"/>
    <x v="5"/>
    <n v="3"/>
    <n v="306.29000000000002"/>
    <s v="966 Main St"/>
    <x v="2"/>
    <x v="2"/>
    <s v="TRK19477485"/>
    <n v="7"/>
    <s v="WINTER15"/>
    <x v="0"/>
    <x v="1158"/>
    <s v="WINTER15"/>
  </r>
  <r>
    <x v="1164"/>
    <x v="649"/>
    <s v="C65890"/>
    <x v="2"/>
    <n v="5"/>
    <n v="315.57"/>
    <s v="340 Main St"/>
    <x v="0"/>
    <x v="3"/>
    <s v="TRK64530489"/>
    <n v="6"/>
    <s v="WINTER15"/>
    <x v="2"/>
    <x v="1159"/>
    <s v="WINTER15"/>
  </r>
  <r>
    <x v="1165"/>
    <x v="328"/>
    <s v="C36992"/>
    <x v="3"/>
    <n v="3"/>
    <n v="223.79"/>
    <s v="617 Main St"/>
    <x v="0"/>
    <x v="4"/>
    <s v="TRK63460217"/>
    <n v="3"/>
    <m/>
    <x v="4"/>
    <x v="1160"/>
    <s v="No Coupon"/>
  </r>
  <r>
    <x v="1166"/>
    <x v="48"/>
    <s v="C95568"/>
    <x v="3"/>
    <n v="3"/>
    <n v="324.47000000000003"/>
    <s v="971 Main St"/>
    <x v="4"/>
    <x v="3"/>
    <s v="TRK37075292"/>
    <n v="4"/>
    <s v="WINTER15"/>
    <x v="2"/>
    <x v="1161"/>
    <s v="WINTER15"/>
  </r>
  <r>
    <x v="1167"/>
    <x v="661"/>
    <s v="C17966"/>
    <x v="4"/>
    <n v="2"/>
    <n v="92.87"/>
    <s v="360 Main St"/>
    <x v="2"/>
    <x v="4"/>
    <s v="TRK31169396"/>
    <n v="5"/>
    <s v="FREESHIP"/>
    <x v="3"/>
    <x v="1162"/>
    <s v="FREESHIP"/>
  </r>
  <r>
    <x v="1168"/>
    <x v="505"/>
    <s v="C89559"/>
    <x v="5"/>
    <n v="2"/>
    <n v="331.42"/>
    <s v="297 Main St"/>
    <x v="2"/>
    <x v="3"/>
    <s v="TRK82838108"/>
    <n v="6"/>
    <s v="WINTER15"/>
    <x v="4"/>
    <x v="1163"/>
    <s v="WINTER15"/>
  </r>
  <r>
    <x v="1169"/>
    <x v="662"/>
    <s v="C15849"/>
    <x v="3"/>
    <n v="1"/>
    <n v="525.42999999999995"/>
    <s v="643 Main St"/>
    <x v="4"/>
    <x v="1"/>
    <s v="TRK26794546"/>
    <n v="2"/>
    <s v="SAVE10"/>
    <x v="0"/>
    <x v="1164"/>
    <s v="SAVE10"/>
  </r>
  <r>
    <x v="1170"/>
    <x v="567"/>
    <s v="C94257"/>
    <x v="4"/>
    <n v="2"/>
    <n v="697.19"/>
    <s v="762 Main St"/>
    <x v="4"/>
    <x v="2"/>
    <s v="TRK40220743"/>
    <n v="7"/>
    <s v="FREESHIP"/>
    <x v="2"/>
    <x v="1165"/>
    <s v="FREESHIP"/>
  </r>
  <r>
    <x v="1171"/>
    <x v="81"/>
    <s v="C39911"/>
    <x v="1"/>
    <n v="4"/>
    <n v="518.4"/>
    <s v="699 Main St"/>
    <x v="2"/>
    <x v="3"/>
    <s v="TRK80431998"/>
    <n v="7"/>
    <s v="SAVE10"/>
    <x v="3"/>
    <x v="1166"/>
    <s v="SAVE10"/>
  </r>
  <r>
    <x v="1172"/>
    <x v="496"/>
    <s v="C28828"/>
    <x v="6"/>
    <n v="3"/>
    <n v="131.96"/>
    <s v="745 Main St"/>
    <x v="2"/>
    <x v="4"/>
    <s v="TRK32550359"/>
    <n v="8"/>
    <m/>
    <x v="0"/>
    <x v="1167"/>
    <s v="No Coupon"/>
  </r>
  <r>
    <x v="1173"/>
    <x v="449"/>
    <s v="C82921"/>
    <x v="0"/>
    <n v="1"/>
    <n v="208.36"/>
    <s v="703 Main St"/>
    <x v="1"/>
    <x v="0"/>
    <s v="TRK31079911"/>
    <n v="4"/>
    <s v="FREESHIP"/>
    <x v="2"/>
    <x v="1168"/>
    <s v="FREESHIP"/>
  </r>
  <r>
    <x v="1174"/>
    <x v="110"/>
    <s v="C50159"/>
    <x v="4"/>
    <n v="3"/>
    <n v="222.34"/>
    <s v="105 Main St"/>
    <x v="2"/>
    <x v="2"/>
    <s v="TRK53737452"/>
    <n v="5"/>
    <s v="WINTER15"/>
    <x v="2"/>
    <x v="1169"/>
    <s v="WINTER15"/>
  </r>
  <r>
    <x v="1175"/>
    <x v="663"/>
    <s v="C62512"/>
    <x v="4"/>
    <n v="3"/>
    <n v="91.74"/>
    <s v="368 Main St"/>
    <x v="0"/>
    <x v="2"/>
    <s v="TRK24139954"/>
    <n v="8"/>
    <s v="FREESHIP"/>
    <x v="1"/>
    <x v="1170"/>
    <s v="FREESHIP"/>
  </r>
  <r>
    <x v="1176"/>
    <x v="340"/>
    <s v="C39260"/>
    <x v="2"/>
    <n v="2"/>
    <n v="213.83"/>
    <s v="374 Main St"/>
    <x v="0"/>
    <x v="1"/>
    <s v="TRK55587314"/>
    <n v="2"/>
    <s v="WINTER15"/>
    <x v="2"/>
    <x v="1171"/>
    <s v="WINTER15"/>
  </r>
  <r>
    <x v="1177"/>
    <x v="664"/>
    <s v="C23917"/>
    <x v="4"/>
    <n v="1"/>
    <n v="127.55"/>
    <s v="433 Main St"/>
    <x v="4"/>
    <x v="0"/>
    <s v="TRK44434536"/>
    <n v="3"/>
    <s v="SAVE10"/>
    <x v="1"/>
    <x v="1172"/>
    <s v="SAVE10"/>
  </r>
  <r>
    <x v="1178"/>
    <x v="50"/>
    <s v="C65107"/>
    <x v="0"/>
    <n v="1"/>
    <n v="70.239999999999995"/>
    <s v="456 Main St"/>
    <x v="2"/>
    <x v="1"/>
    <s v="TRK10261578"/>
    <n v="4"/>
    <s v="FREESHIP"/>
    <x v="4"/>
    <x v="1173"/>
    <s v="FREESHIP"/>
  </r>
  <r>
    <x v="1179"/>
    <x v="124"/>
    <s v="C84630"/>
    <x v="5"/>
    <n v="5"/>
    <n v="518.54999999999995"/>
    <s v="907 Main St"/>
    <x v="2"/>
    <x v="1"/>
    <s v="TRK48054997"/>
    <n v="6"/>
    <s v="WINTER15"/>
    <x v="0"/>
    <x v="1174"/>
    <s v="WINTER15"/>
  </r>
  <r>
    <x v="1180"/>
    <x v="150"/>
    <s v="C42235"/>
    <x v="3"/>
    <n v="4"/>
    <n v="298.36"/>
    <s v="722 Main St"/>
    <x v="0"/>
    <x v="4"/>
    <s v="TRK49379882"/>
    <n v="8"/>
    <s v="FREESHIP"/>
    <x v="4"/>
    <x v="1175"/>
    <s v="FREESHIP"/>
  </r>
  <r>
    <x v="1181"/>
    <x v="152"/>
    <s v="C70246"/>
    <x v="6"/>
    <n v="3"/>
    <n v="158.74"/>
    <s v="293 Main St"/>
    <x v="1"/>
    <x v="4"/>
    <s v="TRK45708320"/>
    <n v="7"/>
    <s v="FREESHIP"/>
    <x v="0"/>
    <x v="1176"/>
    <s v="FREESHIP"/>
  </r>
  <r>
    <x v="1182"/>
    <x v="554"/>
    <s v="C18473"/>
    <x v="3"/>
    <n v="2"/>
    <n v="420.29"/>
    <s v="700 Main St"/>
    <x v="3"/>
    <x v="2"/>
    <s v="TRK97834202"/>
    <n v="3"/>
    <s v="SAVE10"/>
    <x v="4"/>
    <x v="1177"/>
    <s v="SAVE10"/>
  </r>
  <r>
    <x v="1183"/>
    <x v="228"/>
    <s v="C12607"/>
    <x v="6"/>
    <n v="1"/>
    <n v="281.52"/>
    <s v="460 Main St"/>
    <x v="3"/>
    <x v="0"/>
    <s v="TRK83653396"/>
    <n v="6"/>
    <s v="WINTER15"/>
    <x v="1"/>
    <x v="1178"/>
    <s v="WINTER15"/>
  </r>
  <r>
    <x v="1184"/>
    <x v="610"/>
    <s v="C10222"/>
    <x v="5"/>
    <n v="1"/>
    <n v="204.08"/>
    <s v="979 Main St"/>
    <x v="3"/>
    <x v="2"/>
    <s v="TRK86297895"/>
    <n v="4"/>
    <m/>
    <x v="4"/>
    <x v="1179"/>
    <s v="No Coupon"/>
  </r>
  <r>
    <x v="1185"/>
    <x v="665"/>
    <s v="C77344"/>
    <x v="3"/>
    <n v="1"/>
    <n v="343.31"/>
    <s v="777 Main St"/>
    <x v="3"/>
    <x v="2"/>
    <s v="TRK20605055"/>
    <n v="6"/>
    <s v="SAVE10"/>
    <x v="4"/>
    <x v="1180"/>
    <s v="SAVE10"/>
  </r>
  <r>
    <x v="1186"/>
    <x v="134"/>
    <s v="C65497"/>
    <x v="0"/>
    <n v="1"/>
    <n v="163.32"/>
    <s v="676 Main St"/>
    <x v="4"/>
    <x v="0"/>
    <s v="TRK83702761"/>
    <n v="6"/>
    <s v="WINTER15"/>
    <x v="3"/>
    <x v="1181"/>
    <s v="WINTER15"/>
  </r>
  <r>
    <x v="1187"/>
    <x v="206"/>
    <s v="C26340"/>
    <x v="6"/>
    <n v="2"/>
    <n v="184.6"/>
    <s v="562 Main St"/>
    <x v="3"/>
    <x v="3"/>
    <s v="TRK59962703"/>
    <n v="7"/>
    <s v="WINTER15"/>
    <x v="2"/>
    <x v="1182"/>
    <s v="WINTER15"/>
  </r>
  <r>
    <x v="1188"/>
    <x v="47"/>
    <s v="C75619"/>
    <x v="4"/>
    <n v="2"/>
    <n v="371.29"/>
    <s v="924 Main St"/>
    <x v="3"/>
    <x v="0"/>
    <s v="TRK23086941"/>
    <n v="5"/>
    <s v="WINTER15"/>
    <x v="3"/>
    <x v="1183"/>
    <s v="WINTER15"/>
  </r>
  <r>
    <x v="1189"/>
    <x v="666"/>
    <s v="C96136"/>
    <x v="2"/>
    <n v="5"/>
    <n v="389.22"/>
    <s v="149 Main St"/>
    <x v="4"/>
    <x v="1"/>
    <s v="TRK60856682"/>
    <n v="7"/>
    <m/>
    <x v="1"/>
    <x v="1184"/>
    <s v="No Coupon"/>
  </r>
  <r>
    <x v="1190"/>
    <x v="647"/>
    <s v="C46886"/>
    <x v="6"/>
    <n v="3"/>
    <n v="616.39"/>
    <s v="754 Main St"/>
    <x v="2"/>
    <x v="0"/>
    <s v="TRK82791646"/>
    <n v="6"/>
    <s v="FREESHIP"/>
    <x v="0"/>
    <x v="1185"/>
    <s v="FREESHIP"/>
  </r>
  <r>
    <x v="1191"/>
    <x v="441"/>
    <s v="C44148"/>
    <x v="6"/>
    <n v="4"/>
    <n v="376.43"/>
    <s v="809 Main St"/>
    <x v="3"/>
    <x v="4"/>
    <s v="TRK67872709"/>
    <n v="5"/>
    <s v="WINTER15"/>
    <x v="0"/>
    <x v="1186"/>
    <s v="WINTER15"/>
  </r>
  <r>
    <x v="1192"/>
    <x v="329"/>
    <s v="C72007"/>
    <x v="3"/>
    <n v="3"/>
    <n v="432.85"/>
    <s v="999 Main St"/>
    <x v="1"/>
    <x v="4"/>
    <s v="TRK16240916"/>
    <n v="4"/>
    <m/>
    <x v="0"/>
    <x v="1187"/>
    <s v="No Coupon"/>
  </r>
  <r>
    <x v="1193"/>
    <x v="667"/>
    <s v="C45104"/>
    <x v="2"/>
    <n v="1"/>
    <n v="687.89"/>
    <s v="348 Main St"/>
    <x v="4"/>
    <x v="2"/>
    <s v="TRK38559816"/>
    <n v="1"/>
    <s v="FREESHIP"/>
    <x v="2"/>
    <x v="1188"/>
    <s v="FREESHIP"/>
  </r>
  <r>
    <x v="1194"/>
    <x v="614"/>
    <s v="C29885"/>
    <x v="4"/>
    <n v="3"/>
    <n v="189.44"/>
    <s v="725 Main St"/>
    <x v="4"/>
    <x v="4"/>
    <s v="TRK62067865"/>
    <n v="4"/>
    <s v="FREESHIP"/>
    <x v="2"/>
    <x v="1189"/>
    <s v="FREESHIP"/>
  </r>
  <r>
    <x v="1195"/>
    <x v="643"/>
    <s v="C21126"/>
    <x v="6"/>
    <n v="1"/>
    <n v="107.04"/>
    <s v="392 Main St"/>
    <x v="2"/>
    <x v="1"/>
    <s v="TRK38009181"/>
    <n v="6"/>
    <s v="FREESHIP"/>
    <x v="4"/>
    <x v="1190"/>
    <s v="FREESHIP"/>
  </r>
  <r>
    <x v="1196"/>
    <x v="668"/>
    <s v="C20095"/>
    <x v="0"/>
    <n v="2"/>
    <n v="662.53"/>
    <s v="778 Main St"/>
    <x v="1"/>
    <x v="1"/>
    <s v="TRK69207593"/>
    <n v="5"/>
    <m/>
    <x v="3"/>
    <x v="1191"/>
    <s v="No Coupon"/>
  </r>
  <r>
    <x v="1197"/>
    <x v="669"/>
    <s v="C79674"/>
    <x v="2"/>
    <n v="2"/>
    <n v="436.84"/>
    <s v="275 Main St"/>
    <x v="1"/>
    <x v="3"/>
    <s v="TRK88039356"/>
    <n v="2"/>
    <s v="FREESHIP"/>
    <x v="0"/>
    <x v="1192"/>
    <s v="FREESHIP"/>
  </r>
  <r>
    <x v="1198"/>
    <x v="670"/>
    <s v="C64753"/>
    <x v="3"/>
    <n v="4"/>
    <n v="262.52"/>
    <s v="509 Main St"/>
    <x v="0"/>
    <x v="1"/>
    <s v="TRK71683331"/>
    <n v="4"/>
    <s v="WINTER15"/>
    <x v="0"/>
    <x v="1193"/>
    <s v="WINTER15"/>
  </r>
  <r>
    <x v="1199"/>
    <x v="236"/>
    <s v="C57502"/>
    <x v="2"/>
    <n v="4"/>
    <n v="560.58000000000004"/>
    <s v="201 Main St"/>
    <x v="3"/>
    <x v="2"/>
    <s v="TRK51116746"/>
    <n v="6"/>
    <s v="SAVE10"/>
    <x v="1"/>
    <x v="1194"/>
    <s v="SAVE10"/>
  </r>
  <r>
    <x v="1200"/>
    <x v="671"/>
    <m/>
    <x v="7"/>
    <m/>
    <m/>
    <m/>
    <x v="5"/>
    <x v="5"/>
    <m/>
    <m/>
    <m/>
    <x v="5"/>
    <x v="1195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n="N"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11" firstHeaderRow="1" firstDataRow="1" firstDataCol="1"/>
  <pivotFields count="16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3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16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9" firstHeaderRow="1" firstDataRow="1" firstDataCol="1"/>
  <pivotFields count="16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Price" fld="13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37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h="1" sd="0" x="0"/>
        <item x="1"/>
        <item x="2"/>
        <item x="3"/>
        <item x="4"/>
        <item t="default"/>
      </items>
    </pivotField>
  </pivotFields>
  <rowFields count="2">
    <field x="15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" baseItem="0" numFmtId="2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O18" sqref="O18"/>
    </sheetView>
  </sheetViews>
  <sheetFormatPr defaultRowHeight="14.5" x14ac:dyDescent="0.35"/>
  <cols>
    <col min="1" max="1" width="12.36328125" customWidth="1"/>
    <col min="2" max="2" width="15.36328125" bestFit="1" customWidth="1"/>
  </cols>
  <sheetData>
    <row r="3" spans="1:2" x14ac:dyDescent="0.35">
      <c r="A3" s="8" t="s">
        <v>4284</v>
      </c>
      <c r="B3" t="s">
        <v>4286</v>
      </c>
    </row>
    <row r="4" spans="1:2" x14ac:dyDescent="0.35">
      <c r="A4" s="9" t="s">
        <v>3071</v>
      </c>
      <c r="B4" s="10">
        <v>250</v>
      </c>
    </row>
    <row r="5" spans="1:2" x14ac:dyDescent="0.35">
      <c r="A5" s="9" t="s">
        <v>3073</v>
      </c>
      <c r="B5" s="10">
        <v>231</v>
      </c>
    </row>
    <row r="6" spans="1:2" x14ac:dyDescent="0.35">
      <c r="A6" s="9" t="s">
        <v>3074</v>
      </c>
      <c r="B6" s="10">
        <v>237</v>
      </c>
    </row>
    <row r="7" spans="1:2" x14ac:dyDescent="0.35">
      <c r="A7" s="9" t="s">
        <v>3072</v>
      </c>
      <c r="B7" s="10">
        <v>247</v>
      </c>
    </row>
    <row r="8" spans="1:2" x14ac:dyDescent="0.35">
      <c r="A8" s="9" t="s">
        <v>3070</v>
      </c>
      <c r="B8" s="10">
        <v>235</v>
      </c>
    </row>
    <row r="9" spans="1:2" x14ac:dyDescent="0.35">
      <c r="A9" s="9" t="s">
        <v>4285</v>
      </c>
      <c r="B9" s="10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11" sqref="A11"/>
    </sheetView>
  </sheetViews>
  <sheetFormatPr defaultRowHeight="14.5" x14ac:dyDescent="0.35"/>
  <cols>
    <col min="1" max="1" width="12.36328125" bestFit="1" customWidth="1"/>
    <col min="2" max="2" width="15.54296875" customWidth="1"/>
  </cols>
  <sheetData>
    <row r="3" spans="1:2" x14ac:dyDescent="0.35">
      <c r="A3" s="8" t="s">
        <v>4284</v>
      </c>
      <c r="B3" t="s">
        <v>4303</v>
      </c>
    </row>
    <row r="4" spans="1:2" x14ac:dyDescent="0.35">
      <c r="A4" s="9" t="s">
        <v>2406</v>
      </c>
      <c r="B4" s="10">
        <v>195620.11000000002</v>
      </c>
    </row>
    <row r="5" spans="1:2" x14ac:dyDescent="0.35">
      <c r="A5" s="9" t="s">
        <v>2409</v>
      </c>
      <c r="B5" s="10">
        <v>167459.93</v>
      </c>
    </row>
    <row r="6" spans="1:2" x14ac:dyDescent="0.35">
      <c r="A6" s="9" t="s">
        <v>2408</v>
      </c>
      <c r="B6" s="10">
        <v>192126.55999999994</v>
      </c>
    </row>
    <row r="7" spans="1:2" x14ac:dyDescent="0.35">
      <c r="A7" s="9" t="s">
        <v>2403</v>
      </c>
      <c r="B7" s="10">
        <v>175651.40999999997</v>
      </c>
    </row>
    <row r="8" spans="1:2" x14ac:dyDescent="0.35">
      <c r="A8" s="9" t="s">
        <v>2404</v>
      </c>
      <c r="B8" s="10">
        <v>151722.39000000001</v>
      </c>
    </row>
    <row r="9" spans="1:2" x14ac:dyDescent="0.35">
      <c r="A9" s="9" t="s">
        <v>2407</v>
      </c>
      <c r="B9" s="10">
        <v>195612.60999999996</v>
      </c>
    </row>
    <row r="10" spans="1:2" x14ac:dyDescent="0.35">
      <c r="A10" s="9" t="s">
        <v>2405</v>
      </c>
      <c r="B10" s="10">
        <v>186568.95000000007</v>
      </c>
    </row>
    <row r="11" spans="1:2" x14ac:dyDescent="0.35">
      <c r="A11" s="9" t="s">
        <v>4285</v>
      </c>
      <c r="B11" s="10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5.54296875" customWidth="1"/>
  </cols>
  <sheetData>
    <row r="3" spans="1:2" x14ac:dyDescent="0.35">
      <c r="A3" s="8" t="s">
        <v>4284</v>
      </c>
      <c r="B3" t="s">
        <v>4303</v>
      </c>
    </row>
    <row r="4" spans="1:2" x14ac:dyDescent="0.35">
      <c r="A4" s="9" t="s">
        <v>4280</v>
      </c>
      <c r="B4" s="10">
        <v>261808.55000000002</v>
      </c>
    </row>
    <row r="5" spans="1:2" x14ac:dyDescent="0.35">
      <c r="A5" s="9" t="s">
        <v>4281</v>
      </c>
      <c r="B5" s="10">
        <v>250410.9</v>
      </c>
    </row>
    <row r="6" spans="1:2" x14ac:dyDescent="0.35">
      <c r="A6" s="9" t="s">
        <v>4282</v>
      </c>
      <c r="B6" s="10">
        <v>250441.47999999998</v>
      </c>
    </row>
    <row r="7" spans="1:2" x14ac:dyDescent="0.35">
      <c r="A7" s="9" t="s">
        <v>4278</v>
      </c>
      <c r="B7" s="10">
        <v>275285.45000000007</v>
      </c>
    </row>
    <row r="8" spans="1:2" x14ac:dyDescent="0.35">
      <c r="A8" s="9" t="s">
        <v>4279</v>
      </c>
      <c r="B8" s="10">
        <v>226815.5799999999</v>
      </c>
    </row>
    <row r="9" spans="1:2" x14ac:dyDescent="0.35">
      <c r="A9" s="9" t="s">
        <v>4285</v>
      </c>
      <c r="B9" s="10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C1" sqref="C1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3" spans="1:2" x14ac:dyDescent="0.35">
      <c r="A3" s="8" t="s">
        <v>4284</v>
      </c>
      <c r="B3" t="s">
        <v>4304</v>
      </c>
    </row>
    <row r="4" spans="1:2" x14ac:dyDescent="0.35">
      <c r="A4" s="9" t="s">
        <v>3069</v>
      </c>
      <c r="B4" s="10">
        <v>1056.0418292682923</v>
      </c>
    </row>
    <row r="5" spans="1:2" x14ac:dyDescent="0.35">
      <c r="A5" s="9" t="s">
        <v>3067</v>
      </c>
      <c r="B5" s="10">
        <v>1127.5539743589738</v>
      </c>
    </row>
    <row r="6" spans="1:2" x14ac:dyDescent="0.35">
      <c r="A6" s="9" t="s">
        <v>3065</v>
      </c>
      <c r="B6" s="10">
        <v>1001.5568103448275</v>
      </c>
    </row>
    <row r="7" spans="1:2" x14ac:dyDescent="0.35">
      <c r="A7" s="9" t="s">
        <v>3068</v>
      </c>
      <c r="B7" s="10">
        <v>1070.9735652173918</v>
      </c>
    </row>
    <row r="8" spans="1:2" x14ac:dyDescent="0.35">
      <c r="A8" s="9" t="s">
        <v>3066</v>
      </c>
      <c r="B8" s="10">
        <v>1017.2206976744191</v>
      </c>
    </row>
    <row r="9" spans="1:2" x14ac:dyDescent="0.35">
      <c r="A9" s="9" t="s">
        <v>4285</v>
      </c>
      <c r="B9" s="10">
        <v>1053.9682999999991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7"/>
  <sheetViews>
    <sheetView tabSelected="1" workbookViewId="0">
      <selection activeCell="A30" sqref="A30"/>
    </sheetView>
  </sheetViews>
  <sheetFormatPr defaultRowHeight="14.5" x14ac:dyDescent="0.35"/>
  <cols>
    <col min="1" max="1" width="12.36328125" customWidth="1"/>
    <col min="2" max="2" width="15.54296875" style="5" customWidth="1"/>
  </cols>
  <sheetData>
    <row r="3" spans="1:2" x14ac:dyDescent="0.35">
      <c r="A3" s="8" t="s">
        <v>4284</v>
      </c>
      <c r="B3" s="5" t="s">
        <v>4303</v>
      </c>
    </row>
    <row r="4" spans="1:2" x14ac:dyDescent="0.35">
      <c r="A4" s="9" t="s">
        <v>4305</v>
      </c>
      <c r="B4" s="5">
        <v>552643.24</v>
      </c>
    </row>
    <row r="5" spans="1:2" x14ac:dyDescent="0.35">
      <c r="A5" s="20" t="s">
        <v>4314</v>
      </c>
      <c r="B5" s="5">
        <v>56685.749999999985</v>
      </c>
    </row>
    <row r="6" spans="1:2" x14ac:dyDescent="0.35">
      <c r="A6" s="20" t="s">
        <v>4315</v>
      </c>
      <c r="B6" s="5">
        <v>40117.659999999996</v>
      </c>
    </row>
    <row r="7" spans="1:2" x14ac:dyDescent="0.35">
      <c r="A7" s="20" t="s">
        <v>4316</v>
      </c>
      <c r="B7" s="5">
        <v>48609.37000000001</v>
      </c>
    </row>
    <row r="8" spans="1:2" x14ac:dyDescent="0.35">
      <c r="A8" s="20" t="s">
        <v>4317</v>
      </c>
      <c r="B8" s="5">
        <v>27751.710000000006</v>
      </c>
    </row>
    <row r="9" spans="1:2" x14ac:dyDescent="0.35">
      <c r="A9" s="20" t="s">
        <v>4318</v>
      </c>
      <c r="B9" s="5">
        <v>63836.840000000026</v>
      </c>
    </row>
    <row r="10" spans="1:2" x14ac:dyDescent="0.35">
      <c r="A10" s="20" t="s">
        <v>4319</v>
      </c>
      <c r="B10" s="5">
        <v>49500.19</v>
      </c>
    </row>
    <row r="11" spans="1:2" x14ac:dyDescent="0.35">
      <c r="A11" s="20" t="s">
        <v>4320</v>
      </c>
      <c r="B11" s="5">
        <v>42820.66</v>
      </c>
    </row>
    <row r="12" spans="1:2" x14ac:dyDescent="0.35">
      <c r="A12" s="20" t="s">
        <v>4321</v>
      </c>
      <c r="B12" s="5">
        <v>54352.14</v>
      </c>
    </row>
    <row r="13" spans="1:2" x14ac:dyDescent="0.35">
      <c r="A13" s="20" t="s">
        <v>4322</v>
      </c>
      <c r="B13" s="5">
        <v>29526.67</v>
      </c>
    </row>
    <row r="14" spans="1:2" x14ac:dyDescent="0.35">
      <c r="A14" s="20" t="s">
        <v>4323</v>
      </c>
      <c r="B14" s="5">
        <v>52607.85</v>
      </c>
    </row>
    <row r="15" spans="1:2" x14ac:dyDescent="0.35">
      <c r="A15" s="20" t="s">
        <v>4324</v>
      </c>
      <c r="B15" s="5">
        <v>43079.67</v>
      </c>
    </row>
    <row r="16" spans="1:2" x14ac:dyDescent="0.35">
      <c r="A16" s="20" t="s">
        <v>4325</v>
      </c>
      <c r="B16" s="5">
        <v>43754.729999999981</v>
      </c>
    </row>
    <row r="17" spans="1:2" x14ac:dyDescent="0.35">
      <c r="A17" s="9" t="s">
        <v>4306</v>
      </c>
      <c r="B17" s="5">
        <v>480235.87</v>
      </c>
    </row>
    <row r="18" spans="1:2" x14ac:dyDescent="0.35">
      <c r="A18" s="20" t="s">
        <v>4314</v>
      </c>
      <c r="B18" s="5">
        <v>38528.079999999994</v>
      </c>
    </row>
    <row r="19" spans="1:2" x14ac:dyDescent="0.35">
      <c r="A19" s="20" t="s">
        <v>4315</v>
      </c>
      <c r="B19" s="5">
        <v>36909.570000000014</v>
      </c>
    </row>
    <row r="20" spans="1:2" x14ac:dyDescent="0.35">
      <c r="A20" s="20" t="s">
        <v>4316</v>
      </c>
      <c r="B20" s="5">
        <v>36030.899999999994</v>
      </c>
    </row>
    <row r="21" spans="1:2" x14ac:dyDescent="0.35">
      <c r="A21" s="20" t="s">
        <v>4317</v>
      </c>
      <c r="B21" s="5">
        <v>49613.139999999992</v>
      </c>
    </row>
    <row r="22" spans="1:2" x14ac:dyDescent="0.35">
      <c r="A22" s="20" t="s">
        <v>4318</v>
      </c>
      <c r="B22" s="5">
        <v>27909.110000000004</v>
      </c>
    </row>
    <row r="23" spans="1:2" x14ac:dyDescent="0.35">
      <c r="A23" s="20" t="s">
        <v>4319</v>
      </c>
      <c r="B23" s="5">
        <v>68068.539999999979</v>
      </c>
    </row>
    <row r="24" spans="1:2" x14ac:dyDescent="0.35">
      <c r="A24" s="20" t="s">
        <v>4320</v>
      </c>
      <c r="B24" s="5">
        <v>42963.98</v>
      </c>
    </row>
    <row r="25" spans="1:2" x14ac:dyDescent="0.35">
      <c r="A25" s="20" t="s">
        <v>4321</v>
      </c>
      <c r="B25" s="5">
        <v>31991.07</v>
      </c>
    </row>
    <row r="26" spans="1:2" x14ac:dyDescent="0.35">
      <c r="A26" s="20" t="s">
        <v>4322</v>
      </c>
      <c r="B26" s="5">
        <v>39794.979999999996</v>
      </c>
    </row>
    <row r="27" spans="1:2" x14ac:dyDescent="0.35">
      <c r="A27" s="20" t="s">
        <v>4323</v>
      </c>
      <c r="B27" s="5">
        <v>37226.969999999994</v>
      </c>
    </row>
    <row r="28" spans="1:2" x14ac:dyDescent="0.35">
      <c r="A28" s="20" t="s">
        <v>4324</v>
      </c>
      <c r="B28" s="5">
        <v>32413.760000000006</v>
      </c>
    </row>
    <row r="29" spans="1:2" x14ac:dyDescent="0.35">
      <c r="A29" s="20" t="s">
        <v>4325</v>
      </c>
      <c r="B29" s="5">
        <v>38785.769999999997</v>
      </c>
    </row>
    <row r="30" spans="1:2" x14ac:dyDescent="0.35">
      <c r="A30" s="9" t="s">
        <v>4307</v>
      </c>
      <c r="B30" s="5">
        <v>231882.85</v>
      </c>
    </row>
    <row r="31" spans="1:2" x14ac:dyDescent="0.35">
      <c r="A31" s="20" t="s">
        <v>4314</v>
      </c>
      <c r="B31" s="5">
        <v>29099.399999999998</v>
      </c>
    </row>
    <row r="32" spans="1:2" x14ac:dyDescent="0.35">
      <c r="A32" s="20" t="s">
        <v>4315</v>
      </c>
      <c r="B32" s="5">
        <v>35317.549999999996</v>
      </c>
    </row>
    <row r="33" spans="1:2" x14ac:dyDescent="0.35">
      <c r="A33" s="20" t="s">
        <v>4316</v>
      </c>
      <c r="B33" s="5">
        <v>39200.660000000011</v>
      </c>
    </row>
    <row r="34" spans="1:2" x14ac:dyDescent="0.35">
      <c r="A34" s="20" t="s">
        <v>4317</v>
      </c>
      <c r="B34" s="5">
        <v>31821.200000000001</v>
      </c>
    </row>
    <row r="35" spans="1:2" x14ac:dyDescent="0.35">
      <c r="A35" s="20" t="s">
        <v>4318</v>
      </c>
      <c r="B35" s="5">
        <v>43396.639999999992</v>
      </c>
    </row>
    <row r="36" spans="1:2" x14ac:dyDescent="0.35">
      <c r="A36" s="20" t="s">
        <v>4319</v>
      </c>
      <c r="B36" s="5">
        <v>53047.399999999994</v>
      </c>
    </row>
    <row r="37" spans="1:2" x14ac:dyDescent="0.35">
      <c r="A37" s="9" t="s">
        <v>4285</v>
      </c>
      <c r="B37" s="5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G2" sqref="G2"/>
    </sheetView>
  </sheetViews>
  <sheetFormatPr defaultRowHeight="14.5" x14ac:dyDescent="0.35"/>
  <cols>
    <col min="2" max="2" width="8.7265625" style="5"/>
    <col min="4" max="4" width="9.36328125" style="5" bestFit="1" customWidth="1"/>
    <col min="6" max="6" width="10.36328125" style="5" bestFit="1" customWidth="1"/>
    <col min="8" max="8" width="8.7265625" style="5"/>
  </cols>
  <sheetData>
    <row r="1" spans="1:10" x14ac:dyDescent="0.35">
      <c r="A1" s="13" t="s">
        <v>4</v>
      </c>
      <c r="B1" s="14"/>
      <c r="C1" s="13" t="s">
        <v>4301</v>
      </c>
      <c r="D1" s="14"/>
      <c r="E1" s="13" t="s">
        <v>4302</v>
      </c>
      <c r="F1" s="14"/>
      <c r="G1" s="18" t="s">
        <v>4309</v>
      </c>
      <c r="H1" s="19">
        <f>_xlfn.QUARTILE.INC('[1]Cleaned Data set'!N2:N1201,1)-1.5*(_xlfn.QUARTILE.INC('[1]Cleaned Data set'!N2:N1201,3)-_xlfn.QUARTILE.INC('[1]Cleaned Data set'!N2:N1201,1))</f>
        <v>-1341.4124999999999</v>
      </c>
      <c r="I1" t="s">
        <v>4311</v>
      </c>
      <c r="J1">
        <f>CORREL('[1]Cleaned Data set'!E2:E1201,'[1]Cleaned Data set'!F2:F1201)</f>
        <v>1.4553341185454998E-2</v>
      </c>
    </row>
    <row r="2" spans="1:10" x14ac:dyDescent="0.35">
      <c r="A2" s="11"/>
      <c r="B2" s="15"/>
      <c r="C2" s="11"/>
      <c r="D2" s="15"/>
      <c r="E2" s="11"/>
      <c r="F2" s="15"/>
      <c r="G2" s="18" t="s">
        <v>4310</v>
      </c>
      <c r="H2" s="19">
        <f>_xlfn.QUARTILE.INC('[1]Cleaned Data set'!N2:N1201,3)+1.5*(_xlfn.QUARTILE.INC('[1]Cleaned Data set'!N2:N1201,3)-_xlfn.QUARTILE.INC('[1]Cleaned Data set'!N2:N1201,1))</f>
        <v>3330.4074999999998</v>
      </c>
      <c r="I2" t="s">
        <v>4312</v>
      </c>
      <c r="J2">
        <f>CORREL('[1]Cleaned Data set'!F2:F1201,'[1]Cleaned Data set'!N2:N1201)</f>
        <v>0.717081089263781</v>
      </c>
    </row>
    <row r="3" spans="1:10" x14ac:dyDescent="0.35">
      <c r="A3" s="11" t="s">
        <v>4287</v>
      </c>
      <c r="B3" s="15">
        <v>2.9458333333333333</v>
      </c>
      <c r="C3" s="11" t="s">
        <v>4287</v>
      </c>
      <c r="D3" s="15">
        <v>356.41275000000007</v>
      </c>
      <c r="E3" s="11" t="s">
        <v>4287</v>
      </c>
      <c r="F3" s="15">
        <v>1053.9683000000005</v>
      </c>
      <c r="I3" t="s">
        <v>4313</v>
      </c>
      <c r="J3">
        <f>CORREL('[1]Cleaned Data set'!E2:E1201,'[1]Cleaned Data set'!N2:N1201)</f>
        <v>0.61525136334670683</v>
      </c>
    </row>
    <row r="4" spans="1:10" x14ac:dyDescent="0.35">
      <c r="A4" s="11" t="s">
        <v>4288</v>
      </c>
      <c r="B4" s="15">
        <v>4.0632673494548861E-2</v>
      </c>
      <c r="C4" s="11" t="s">
        <v>4288</v>
      </c>
      <c r="D4" s="15">
        <v>5.6920139280345943</v>
      </c>
      <c r="E4" s="11" t="s">
        <v>4288</v>
      </c>
      <c r="F4" s="15">
        <v>23.667220233435412</v>
      </c>
    </row>
    <row r="5" spans="1:10" x14ac:dyDescent="0.35">
      <c r="A5" s="11" t="s">
        <v>4289</v>
      </c>
      <c r="B5" s="15">
        <v>3</v>
      </c>
      <c r="C5" s="11" t="s">
        <v>4289</v>
      </c>
      <c r="D5" s="15">
        <v>364.21</v>
      </c>
      <c r="E5" s="11" t="s">
        <v>4289</v>
      </c>
      <c r="F5" s="15">
        <v>823.61500000000001</v>
      </c>
    </row>
    <row r="6" spans="1:10" x14ac:dyDescent="0.35">
      <c r="A6" s="11" t="s">
        <v>4290</v>
      </c>
      <c r="B6" s="15">
        <v>1</v>
      </c>
      <c r="C6" s="11" t="s">
        <v>4290</v>
      </c>
      <c r="D6" s="15">
        <v>127.18</v>
      </c>
      <c r="E6" s="11" t="s">
        <v>4290</v>
      </c>
      <c r="F6" s="15">
        <v>635.90000000000009</v>
      </c>
    </row>
    <row r="7" spans="1:10" x14ac:dyDescent="0.35">
      <c r="A7" s="11" t="s">
        <v>4291</v>
      </c>
      <c r="B7" s="15">
        <v>1.4075570987983175</v>
      </c>
      <c r="C7" s="11" t="s">
        <v>4291</v>
      </c>
      <c r="D7" s="15">
        <v>197.17714641491236</v>
      </c>
      <c r="E7" s="11" t="s">
        <v>4291</v>
      </c>
      <c r="F7" s="15">
        <v>819.85655836464559</v>
      </c>
    </row>
    <row r="8" spans="1:10" x14ac:dyDescent="0.35">
      <c r="A8" s="11" t="s">
        <v>4292</v>
      </c>
      <c r="B8" s="15">
        <v>1.9812169863775364</v>
      </c>
      <c r="C8" s="11" t="s">
        <v>4292</v>
      </c>
      <c r="D8" s="15">
        <v>38878.827068327788</v>
      </c>
      <c r="E8" s="11" t="s">
        <v>4292</v>
      </c>
      <c r="F8" s="15">
        <v>672164.77629352151</v>
      </c>
    </row>
    <row r="9" spans="1:10" x14ac:dyDescent="0.35">
      <c r="A9" s="11" t="s">
        <v>4293</v>
      </c>
      <c r="B9" s="15">
        <v>-1.2945958869673317</v>
      </c>
      <c r="C9" s="11" t="s">
        <v>4293</v>
      </c>
      <c r="D9" s="15">
        <v>-1.1910109277585086</v>
      </c>
      <c r="E9" s="11" t="s">
        <v>4293</v>
      </c>
      <c r="F9" s="15">
        <v>-4.0414717406669798E-2</v>
      </c>
    </row>
    <row r="10" spans="1:10" x14ac:dyDescent="0.35">
      <c r="A10" s="11" t="s">
        <v>4294</v>
      </c>
      <c r="B10" s="15">
        <v>2.792231401661471E-2</v>
      </c>
      <c r="C10" s="11" t="s">
        <v>4294</v>
      </c>
      <c r="D10" s="15">
        <v>-2.6511641121851885E-2</v>
      </c>
      <c r="E10" s="11" t="s">
        <v>4294</v>
      </c>
      <c r="F10" s="15">
        <v>0.89135908268090325</v>
      </c>
    </row>
    <row r="11" spans="1:10" x14ac:dyDescent="0.35">
      <c r="A11" s="11" t="s">
        <v>4295</v>
      </c>
      <c r="B11" s="15">
        <v>4</v>
      </c>
      <c r="C11" s="11" t="s">
        <v>4295</v>
      </c>
      <c r="D11" s="15">
        <v>688.54</v>
      </c>
      <c r="E11" s="11" t="s">
        <v>4295</v>
      </c>
      <c r="F11" s="15">
        <v>3445.01</v>
      </c>
    </row>
    <row r="12" spans="1:10" x14ac:dyDescent="0.35">
      <c r="A12" s="11" t="s">
        <v>4296</v>
      </c>
      <c r="B12" s="15">
        <v>1</v>
      </c>
      <c r="C12" s="11" t="s">
        <v>4296</v>
      </c>
      <c r="D12" s="15">
        <v>11.39</v>
      </c>
      <c r="E12" s="11" t="s">
        <v>4296</v>
      </c>
      <c r="F12" s="15">
        <v>11.39</v>
      </c>
    </row>
    <row r="13" spans="1:10" x14ac:dyDescent="0.35">
      <c r="A13" s="11" t="s">
        <v>4297</v>
      </c>
      <c r="B13" s="15">
        <v>5</v>
      </c>
      <c r="C13" s="11" t="s">
        <v>4297</v>
      </c>
      <c r="D13" s="15">
        <v>699.93</v>
      </c>
      <c r="E13" s="11" t="s">
        <v>4297</v>
      </c>
      <c r="F13" s="15">
        <v>3456.4</v>
      </c>
    </row>
    <row r="14" spans="1:10" x14ac:dyDescent="0.35">
      <c r="A14" s="11" t="s">
        <v>4298</v>
      </c>
      <c r="B14" s="15">
        <v>3535</v>
      </c>
      <c r="C14" s="11" t="s">
        <v>4298</v>
      </c>
      <c r="D14" s="15">
        <v>427695.3000000001</v>
      </c>
      <c r="E14" s="11" t="s">
        <v>4298</v>
      </c>
      <c r="F14" s="15">
        <v>1264761.9600000004</v>
      </c>
    </row>
    <row r="15" spans="1:10" x14ac:dyDescent="0.35">
      <c r="A15" s="11" t="s">
        <v>4299</v>
      </c>
      <c r="B15" s="15">
        <v>1200</v>
      </c>
      <c r="C15" s="11" t="s">
        <v>4299</v>
      </c>
      <c r="D15" s="15">
        <v>1200</v>
      </c>
      <c r="E15" s="11" t="s">
        <v>4299</v>
      </c>
      <c r="F15" s="15">
        <v>1200</v>
      </c>
    </row>
    <row r="16" spans="1:10" ht="15" thickBot="1" x14ac:dyDescent="0.4">
      <c r="A16" s="12" t="s">
        <v>4300</v>
      </c>
      <c r="B16" s="16">
        <v>7.9719049910707829E-2</v>
      </c>
      <c r="C16" s="12" t="s">
        <v>4300</v>
      </c>
      <c r="D16" s="16">
        <v>11.167415367888827</v>
      </c>
      <c r="E16" s="12" t="s">
        <v>4300</v>
      </c>
      <c r="F16" s="16">
        <v>46.433772350472303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2"/>
  <sheetViews>
    <sheetView zoomScale="81" zoomScaleNormal="145" workbookViewId="0">
      <selection activeCell="S2" sqref="S2"/>
    </sheetView>
  </sheetViews>
  <sheetFormatPr defaultRowHeight="14.5" x14ac:dyDescent="0.35"/>
  <cols>
    <col min="2" max="2" width="10.453125" style="3" bestFit="1" customWidth="1"/>
    <col min="6" max="6" width="8.7265625" style="5"/>
    <col min="14" max="14" width="8.7265625" style="5"/>
    <col min="17" max="19" width="8.7265625" style="5"/>
  </cols>
  <sheetData>
    <row r="1" spans="1:1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7" t="s">
        <v>4283</v>
      </c>
      <c r="P1" s="17" t="s">
        <v>4308</v>
      </c>
      <c r="Q1" s="6"/>
    </row>
    <row r="2" spans="1:17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  <c r="O2" t="str">
        <f>IF(L2="","No Coupon",L2)</f>
        <v>SAVE10</v>
      </c>
      <c r="P2" t="str">
        <f>IF(OR(N2&lt;EDA!$H$1,N2&gt;EDA!$H$2),"Outlier","Normal")</f>
        <v>Normal</v>
      </c>
    </row>
    <row r="3" spans="1:17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  <c r="O3" t="str">
        <f t="shared" ref="O3:O66" si="0">IF(L3="","No Coupon",L3)</f>
        <v>SAVE10</v>
      </c>
      <c r="P3" t="str">
        <f>IF(OR(N3&lt;EDA!$H$1,N3&gt;EDA!$H$2),"Outlier","Normal")</f>
        <v>Normal</v>
      </c>
    </row>
    <row r="4" spans="1:17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  <c r="O4" t="str">
        <f t="shared" si="0"/>
        <v>FREESHIP</v>
      </c>
      <c r="P4" t="str">
        <f>IF(OR(N4&lt;EDA!$H$1,N4&gt;EDA!$H$2),"Outlier","Normal")</f>
        <v>Normal</v>
      </c>
    </row>
    <row r="5" spans="1:17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  <c r="O5" t="str">
        <f t="shared" si="0"/>
        <v>SAVE10</v>
      </c>
      <c r="P5" t="str">
        <f>IF(OR(N5&lt;EDA!$H$1,N5&gt;EDA!$H$2),"Outlier","Normal")</f>
        <v>Normal</v>
      </c>
    </row>
    <row r="6" spans="1:17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  <c r="O6" t="str">
        <f t="shared" si="0"/>
        <v>SAVE10</v>
      </c>
      <c r="P6" t="str">
        <f>IF(OR(N6&lt;EDA!$H$1,N6&gt;EDA!$H$2),"Outlier","Normal")</f>
        <v>Normal</v>
      </c>
    </row>
    <row r="7" spans="1:17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  <c r="O7" t="str">
        <f t="shared" si="0"/>
        <v>SAVE10</v>
      </c>
      <c r="P7" t="str">
        <f>IF(OR(N7&lt;EDA!$H$1,N7&gt;EDA!$H$2),"Outlier","Normal")</f>
        <v>Normal</v>
      </c>
    </row>
    <row r="8" spans="1:17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  <c r="O8" t="str">
        <f t="shared" si="0"/>
        <v>SAVE10</v>
      </c>
      <c r="P8" t="str">
        <f>IF(OR(N8&lt;EDA!$H$1,N8&gt;EDA!$H$2),"Outlier","Normal")</f>
        <v>Normal</v>
      </c>
    </row>
    <row r="9" spans="1:17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  <c r="O9" t="str">
        <f t="shared" si="0"/>
        <v>FREESHIP</v>
      </c>
      <c r="P9" t="str">
        <f>IF(OR(N9&lt;EDA!$H$1,N9&gt;EDA!$H$2),"Outlier","Normal")</f>
        <v>Normal</v>
      </c>
    </row>
    <row r="10" spans="1:17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5">
        <v>268.56</v>
      </c>
      <c r="O10" t="str">
        <f t="shared" si="0"/>
        <v>No Coupon</v>
      </c>
      <c r="P10" t="str">
        <f>IF(OR(N10&lt;EDA!$H$1,N10&gt;EDA!$H$2),"Outlier","Normal")</f>
        <v>Normal</v>
      </c>
    </row>
    <row r="11" spans="1:17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  <c r="O11" t="str">
        <f t="shared" si="0"/>
        <v>SAVE10</v>
      </c>
      <c r="P11" t="str">
        <f>IF(OR(N11&lt;EDA!$H$1,N11&gt;EDA!$H$2),"Outlier","Normal")</f>
        <v>Normal</v>
      </c>
    </row>
    <row r="12" spans="1:17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  <c r="O12" t="str">
        <f t="shared" si="0"/>
        <v>WINTER15</v>
      </c>
      <c r="P12" t="str">
        <f>IF(OR(N12&lt;EDA!$H$1,N12&gt;EDA!$H$2),"Outlier","Normal")</f>
        <v>Normal</v>
      </c>
    </row>
    <row r="13" spans="1:17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  <c r="O13" t="str">
        <f t="shared" si="0"/>
        <v>SAVE10</v>
      </c>
      <c r="P13" t="str">
        <f>IF(OR(N13&lt;EDA!$H$1,N13&gt;EDA!$H$2),"Outlier","Normal")</f>
        <v>Normal</v>
      </c>
    </row>
    <row r="14" spans="1:17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  <c r="O14" t="str">
        <f t="shared" si="0"/>
        <v>FREESHIP</v>
      </c>
      <c r="P14" t="str">
        <f>IF(OR(N14&lt;EDA!$H$1,N14&gt;EDA!$H$2),"Outlier","Normal")</f>
        <v>Normal</v>
      </c>
    </row>
    <row r="15" spans="1:17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  <c r="O15" t="str">
        <f t="shared" si="0"/>
        <v>FREESHIP</v>
      </c>
      <c r="P15" t="str">
        <f>IF(OR(N15&lt;EDA!$H$1,N15&gt;EDA!$H$2),"Outlier","Normal")</f>
        <v>Normal</v>
      </c>
    </row>
    <row r="16" spans="1:17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  <c r="O16" t="str">
        <f t="shared" si="0"/>
        <v>SAVE10</v>
      </c>
      <c r="P16" t="str">
        <f>IF(OR(N16&lt;EDA!$H$1,N16&gt;EDA!$H$2),"Outlier","Normal")</f>
        <v>Normal</v>
      </c>
    </row>
    <row r="17" spans="1:16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5">
        <v>473.96</v>
      </c>
      <c r="O17" t="str">
        <f t="shared" si="0"/>
        <v>No Coupon</v>
      </c>
      <c r="P17" t="str">
        <f>IF(OR(N17&lt;EDA!$H$1,N17&gt;EDA!$H$2),"Outlier","Normal")</f>
        <v>Normal</v>
      </c>
    </row>
    <row r="18" spans="1:16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  <c r="O18" t="str">
        <f t="shared" si="0"/>
        <v>FREESHIP</v>
      </c>
      <c r="P18" t="str">
        <f>IF(OR(N18&lt;EDA!$H$1,N18&gt;EDA!$H$2),"Outlier","Normal")</f>
        <v>Normal</v>
      </c>
    </row>
    <row r="19" spans="1:16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5">
        <v>423.4</v>
      </c>
      <c r="O19" t="str">
        <f t="shared" si="0"/>
        <v>No Coupon</v>
      </c>
      <c r="P19" t="str">
        <f>IF(OR(N19&lt;EDA!$H$1,N19&gt;EDA!$H$2),"Outlier","Normal")</f>
        <v>Normal</v>
      </c>
    </row>
    <row r="20" spans="1:16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  <c r="O20" t="str">
        <f t="shared" si="0"/>
        <v>SAVE10</v>
      </c>
      <c r="P20" t="str">
        <f>IF(OR(N20&lt;EDA!$H$1,N20&gt;EDA!$H$2),"Outlier","Normal")</f>
        <v>Normal</v>
      </c>
    </row>
    <row r="21" spans="1:16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  <c r="O21" t="str">
        <f t="shared" si="0"/>
        <v>SAVE10</v>
      </c>
      <c r="P21" t="str">
        <f>IF(OR(N21&lt;EDA!$H$1,N21&gt;EDA!$H$2),"Outlier","Normal")</f>
        <v>Normal</v>
      </c>
    </row>
    <row r="22" spans="1:16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  <c r="O22" t="str">
        <f t="shared" si="0"/>
        <v>WINTER15</v>
      </c>
      <c r="P22" t="str">
        <f>IF(OR(N22&lt;EDA!$H$1,N22&gt;EDA!$H$2),"Outlier","Normal")</f>
        <v>Normal</v>
      </c>
    </row>
    <row r="23" spans="1:16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5">
        <v>1371.8</v>
      </c>
      <c r="O23" t="str">
        <f t="shared" si="0"/>
        <v>No Coupon</v>
      </c>
      <c r="P23" t="str">
        <f>IF(OR(N23&lt;EDA!$H$1,N23&gt;EDA!$H$2),"Outlier","Normal")</f>
        <v>Normal</v>
      </c>
    </row>
    <row r="24" spans="1:16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  <c r="O24" t="str">
        <f t="shared" si="0"/>
        <v>SAVE10</v>
      </c>
      <c r="P24" t="str">
        <f>IF(OR(N24&lt;EDA!$H$1,N24&gt;EDA!$H$2),"Outlier","Normal")</f>
        <v>Normal</v>
      </c>
    </row>
    <row r="25" spans="1:16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  <c r="O25" t="str">
        <f t="shared" si="0"/>
        <v>FREESHIP</v>
      </c>
      <c r="P25" t="str">
        <f>IF(OR(N25&lt;EDA!$H$1,N25&gt;EDA!$H$2),"Outlier","Normal")</f>
        <v>Normal</v>
      </c>
    </row>
    <row r="26" spans="1:16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  <c r="O26" t="str">
        <f t="shared" si="0"/>
        <v>WINTER15</v>
      </c>
      <c r="P26" t="str">
        <f>IF(OR(N26&lt;EDA!$H$1,N26&gt;EDA!$H$2),"Outlier","Normal")</f>
        <v>Normal</v>
      </c>
    </row>
    <row r="27" spans="1:16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  <c r="O27" t="str">
        <f t="shared" si="0"/>
        <v>WINTER15</v>
      </c>
      <c r="P27" t="str">
        <f>IF(OR(N27&lt;EDA!$H$1,N27&gt;EDA!$H$2),"Outlier","Normal")</f>
        <v>Normal</v>
      </c>
    </row>
    <row r="28" spans="1:16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5">
        <v>297.75</v>
      </c>
      <c r="O28" t="str">
        <f t="shared" si="0"/>
        <v>No Coupon</v>
      </c>
      <c r="P28" t="str">
        <f>IF(OR(N28&lt;EDA!$H$1,N28&gt;EDA!$H$2),"Outlier","Normal")</f>
        <v>Normal</v>
      </c>
    </row>
    <row r="29" spans="1:16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  <c r="O29" t="str">
        <f t="shared" si="0"/>
        <v>WINTER15</v>
      </c>
      <c r="P29" t="str">
        <f>IF(OR(N29&lt;EDA!$H$1,N29&gt;EDA!$H$2),"Outlier","Normal")</f>
        <v>Normal</v>
      </c>
    </row>
    <row r="30" spans="1:16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5">
        <v>640.28</v>
      </c>
      <c r="O30" t="str">
        <f t="shared" si="0"/>
        <v>No Coupon</v>
      </c>
      <c r="P30" t="str">
        <f>IF(OR(N30&lt;EDA!$H$1,N30&gt;EDA!$H$2),"Outlier","Normal")</f>
        <v>Normal</v>
      </c>
    </row>
    <row r="31" spans="1:16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  <c r="O31" t="str">
        <f t="shared" si="0"/>
        <v>SAVE10</v>
      </c>
      <c r="P31" t="str">
        <f>IF(OR(N31&lt;EDA!$H$1,N31&gt;EDA!$H$2),"Outlier","Normal")</f>
        <v>Normal</v>
      </c>
    </row>
    <row r="32" spans="1:16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  <c r="O32" t="str">
        <f t="shared" si="0"/>
        <v>SAVE10</v>
      </c>
      <c r="P32" t="str">
        <f>IF(OR(N32&lt;EDA!$H$1,N32&gt;EDA!$H$2),"Outlier","Normal")</f>
        <v>Normal</v>
      </c>
    </row>
    <row r="33" spans="1:16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5">
        <v>1500.24</v>
      </c>
      <c r="O33" t="str">
        <f t="shared" si="0"/>
        <v>No Coupon</v>
      </c>
      <c r="P33" t="str">
        <f>IF(OR(N33&lt;EDA!$H$1,N33&gt;EDA!$H$2),"Outlier","Normal")</f>
        <v>Normal</v>
      </c>
    </row>
    <row r="34" spans="1:16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5">
        <v>2683.6</v>
      </c>
      <c r="O34" t="str">
        <f t="shared" si="0"/>
        <v>No Coupon</v>
      </c>
      <c r="P34" t="str">
        <f>IF(OR(N34&lt;EDA!$H$1,N34&gt;EDA!$H$2),"Outlier","Normal")</f>
        <v>Normal</v>
      </c>
    </row>
    <row r="35" spans="1:16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  <c r="O35" t="str">
        <f t="shared" si="0"/>
        <v>WINTER15</v>
      </c>
      <c r="P35" t="str">
        <f>IF(OR(N35&lt;EDA!$H$1,N35&gt;EDA!$H$2),"Outlier","Normal")</f>
        <v>Normal</v>
      </c>
    </row>
    <row r="36" spans="1:16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  <c r="O36" t="str">
        <f t="shared" si="0"/>
        <v>WINTER15</v>
      </c>
      <c r="P36" t="str">
        <f>IF(OR(N36&lt;EDA!$H$1,N36&gt;EDA!$H$2),"Outlier","Normal")</f>
        <v>Normal</v>
      </c>
    </row>
    <row r="37" spans="1:16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  <c r="O37" t="str">
        <f t="shared" si="0"/>
        <v>SAVE10</v>
      </c>
      <c r="P37" t="str">
        <f>IF(OR(N37&lt;EDA!$H$1,N37&gt;EDA!$H$2),"Outlier","Normal")</f>
        <v>Normal</v>
      </c>
    </row>
    <row r="38" spans="1:16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5">
        <v>1068.8599999999999</v>
      </c>
      <c r="O38" t="str">
        <f t="shared" si="0"/>
        <v>No Coupon</v>
      </c>
      <c r="P38" t="str">
        <f>IF(OR(N38&lt;EDA!$H$1,N38&gt;EDA!$H$2),"Outlier","Normal")</f>
        <v>Normal</v>
      </c>
    </row>
    <row r="39" spans="1:16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  <c r="O39" t="str">
        <f t="shared" si="0"/>
        <v>SAVE10</v>
      </c>
      <c r="P39" t="str">
        <f>IF(OR(N39&lt;EDA!$H$1,N39&gt;EDA!$H$2),"Outlier","Normal")</f>
        <v>Normal</v>
      </c>
    </row>
    <row r="40" spans="1:16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  <c r="O40" t="str">
        <f t="shared" si="0"/>
        <v>SAVE10</v>
      </c>
      <c r="P40" t="str">
        <f>IF(OR(N40&lt;EDA!$H$1,N40&gt;EDA!$H$2),"Outlier","Normal")</f>
        <v>Normal</v>
      </c>
    </row>
    <row r="41" spans="1:16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  <c r="O41" t="str">
        <f t="shared" si="0"/>
        <v>SAVE10</v>
      </c>
      <c r="P41" t="str">
        <f>IF(OR(N41&lt;EDA!$H$1,N41&gt;EDA!$H$2),"Outlier","Normal")</f>
        <v>Normal</v>
      </c>
    </row>
    <row r="42" spans="1:16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  <c r="O42" t="str">
        <f t="shared" si="0"/>
        <v>FREESHIP</v>
      </c>
      <c r="P42" t="str">
        <f>IF(OR(N42&lt;EDA!$H$1,N42&gt;EDA!$H$2),"Outlier","Normal")</f>
        <v>Normal</v>
      </c>
    </row>
    <row r="43" spans="1:16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  <c r="O43" t="str">
        <f t="shared" si="0"/>
        <v>FREESHIP</v>
      </c>
      <c r="P43" t="str">
        <f>IF(OR(N43&lt;EDA!$H$1,N43&gt;EDA!$H$2),"Outlier","Normal")</f>
        <v>Normal</v>
      </c>
    </row>
    <row r="44" spans="1:16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5">
        <v>303.32</v>
      </c>
      <c r="O44" t="str">
        <f t="shared" si="0"/>
        <v>No Coupon</v>
      </c>
      <c r="P44" t="str">
        <f>IF(OR(N44&lt;EDA!$H$1,N44&gt;EDA!$H$2),"Outlier","Normal")</f>
        <v>Normal</v>
      </c>
    </row>
    <row r="45" spans="1:16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5">
        <v>1497.63</v>
      </c>
      <c r="O45" t="str">
        <f t="shared" si="0"/>
        <v>No Coupon</v>
      </c>
      <c r="P45" t="str">
        <f>IF(OR(N45&lt;EDA!$H$1,N45&gt;EDA!$H$2),"Outlier","Normal")</f>
        <v>Normal</v>
      </c>
    </row>
    <row r="46" spans="1:16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  <c r="O46" t="str">
        <f t="shared" si="0"/>
        <v>FREESHIP</v>
      </c>
      <c r="P46" t="str">
        <f>IF(OR(N46&lt;EDA!$H$1,N46&gt;EDA!$H$2),"Outlier","Normal")</f>
        <v>Normal</v>
      </c>
    </row>
    <row r="47" spans="1:16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  <c r="O47" t="str">
        <f t="shared" si="0"/>
        <v>SAVE10</v>
      </c>
      <c r="P47" t="str">
        <f>IF(OR(N47&lt;EDA!$H$1,N47&gt;EDA!$H$2),"Outlier","Normal")</f>
        <v>Normal</v>
      </c>
    </row>
    <row r="48" spans="1:16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  <c r="O48" t="str">
        <f t="shared" si="0"/>
        <v>FREESHIP</v>
      </c>
      <c r="P48" t="str">
        <f>IF(OR(N48&lt;EDA!$H$1,N48&gt;EDA!$H$2),"Outlier","Normal")</f>
        <v>Normal</v>
      </c>
    </row>
    <row r="49" spans="1:16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  <c r="O49" t="str">
        <f t="shared" si="0"/>
        <v>FREESHIP</v>
      </c>
      <c r="P49" t="str">
        <f>IF(OR(N49&lt;EDA!$H$1,N49&gt;EDA!$H$2),"Outlier","Normal")</f>
        <v>Normal</v>
      </c>
    </row>
    <row r="50" spans="1:16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5">
        <v>161.54</v>
      </c>
      <c r="O50" t="str">
        <f t="shared" si="0"/>
        <v>No Coupon</v>
      </c>
      <c r="P50" t="str">
        <f>IF(OR(N50&lt;EDA!$H$1,N50&gt;EDA!$H$2),"Outlier","Normal")</f>
        <v>Normal</v>
      </c>
    </row>
    <row r="51" spans="1:16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  <c r="O51" t="str">
        <f t="shared" si="0"/>
        <v>SAVE10</v>
      </c>
      <c r="P51" t="str">
        <f>IF(OR(N51&lt;EDA!$H$1,N51&gt;EDA!$H$2),"Outlier","Normal")</f>
        <v>Normal</v>
      </c>
    </row>
    <row r="52" spans="1:16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  <c r="O52" t="str">
        <f t="shared" si="0"/>
        <v>FREESHIP</v>
      </c>
      <c r="P52" t="str">
        <f>IF(OR(N52&lt;EDA!$H$1,N52&gt;EDA!$H$2),"Outlier","Normal")</f>
        <v>Normal</v>
      </c>
    </row>
    <row r="53" spans="1:16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  <c r="O53" t="str">
        <f t="shared" si="0"/>
        <v>SAVE10</v>
      </c>
      <c r="P53" t="str">
        <f>IF(OR(N53&lt;EDA!$H$1,N53&gt;EDA!$H$2),"Outlier","Normal")</f>
        <v>Normal</v>
      </c>
    </row>
    <row r="54" spans="1:16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  <c r="O54" t="str">
        <f t="shared" si="0"/>
        <v>SAVE10</v>
      </c>
      <c r="P54" t="str">
        <f>IF(OR(N54&lt;EDA!$H$1,N54&gt;EDA!$H$2),"Outlier","Normal")</f>
        <v>Normal</v>
      </c>
    </row>
    <row r="55" spans="1:16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  <c r="O55" t="str">
        <f t="shared" si="0"/>
        <v>FREESHIP</v>
      </c>
      <c r="P55" t="str">
        <f>IF(OR(N55&lt;EDA!$H$1,N55&gt;EDA!$H$2),"Outlier","Normal")</f>
        <v>Normal</v>
      </c>
    </row>
    <row r="56" spans="1:16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  <c r="O56" t="str">
        <f t="shared" si="0"/>
        <v>WINTER15</v>
      </c>
      <c r="P56" t="str">
        <f>IF(OR(N56&lt;EDA!$H$1,N56&gt;EDA!$H$2),"Outlier","Normal")</f>
        <v>Normal</v>
      </c>
    </row>
    <row r="57" spans="1:16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5">
        <v>1033.2</v>
      </c>
      <c r="O57" t="str">
        <f t="shared" si="0"/>
        <v>No Coupon</v>
      </c>
      <c r="P57" t="str">
        <f>IF(OR(N57&lt;EDA!$H$1,N57&gt;EDA!$H$2),"Outlier","Normal")</f>
        <v>Normal</v>
      </c>
    </row>
    <row r="58" spans="1:16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  <c r="O58" t="str">
        <f t="shared" si="0"/>
        <v>WINTER15</v>
      </c>
      <c r="P58" t="str">
        <f>IF(OR(N58&lt;EDA!$H$1,N58&gt;EDA!$H$2),"Outlier","Normal")</f>
        <v>Normal</v>
      </c>
    </row>
    <row r="59" spans="1:16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  <c r="O59" t="str">
        <f t="shared" si="0"/>
        <v>SAVE10</v>
      </c>
      <c r="P59" t="str">
        <f>IF(OR(N59&lt;EDA!$H$1,N59&gt;EDA!$H$2),"Outlier","Normal")</f>
        <v>Normal</v>
      </c>
    </row>
    <row r="60" spans="1:16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  <c r="O60" t="str">
        <f t="shared" si="0"/>
        <v>SAVE10</v>
      </c>
      <c r="P60" t="str">
        <f>IF(OR(N60&lt;EDA!$H$1,N60&gt;EDA!$H$2),"Outlier","Normal")</f>
        <v>Normal</v>
      </c>
    </row>
    <row r="61" spans="1:16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5">
        <v>2373.08</v>
      </c>
      <c r="O61" t="str">
        <f t="shared" si="0"/>
        <v>No Coupon</v>
      </c>
      <c r="P61" t="str">
        <f>IF(OR(N61&lt;EDA!$H$1,N61&gt;EDA!$H$2),"Outlier","Normal")</f>
        <v>Normal</v>
      </c>
    </row>
    <row r="62" spans="1:16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  <c r="O62" t="str">
        <f t="shared" si="0"/>
        <v>FREESHIP</v>
      </c>
      <c r="P62" t="str">
        <f>IF(OR(N62&lt;EDA!$H$1,N62&gt;EDA!$H$2),"Outlier","Normal")</f>
        <v>Normal</v>
      </c>
    </row>
    <row r="63" spans="1:16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  <c r="O63" t="str">
        <f t="shared" si="0"/>
        <v>FREESHIP</v>
      </c>
      <c r="P63" t="str">
        <f>IF(OR(N63&lt;EDA!$H$1,N63&gt;EDA!$H$2),"Outlier","Normal")</f>
        <v>Normal</v>
      </c>
    </row>
    <row r="64" spans="1:16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  <c r="O64" t="str">
        <f t="shared" si="0"/>
        <v>WINTER15</v>
      </c>
      <c r="P64" t="str">
        <f>IF(OR(N64&lt;EDA!$H$1,N64&gt;EDA!$H$2),"Outlier","Normal")</f>
        <v>Normal</v>
      </c>
    </row>
    <row r="65" spans="1:16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  <c r="O65" t="str">
        <f t="shared" si="0"/>
        <v>WINTER15</v>
      </c>
      <c r="P65" t="str">
        <f>IF(OR(N65&lt;EDA!$H$1,N65&gt;EDA!$H$2),"Outlier","Normal")</f>
        <v>Normal</v>
      </c>
    </row>
    <row r="66" spans="1:16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  <c r="O66" t="str">
        <f t="shared" si="0"/>
        <v>FREESHIP</v>
      </c>
      <c r="P66" t="str">
        <f>IF(OR(N66&lt;EDA!$H$1,N66&gt;EDA!$H$2),"Outlier","Normal")</f>
        <v>Normal</v>
      </c>
    </row>
    <row r="67" spans="1:16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5">
        <v>408.5</v>
      </c>
      <c r="O67" t="str">
        <f t="shared" ref="O67:O130" si="1">IF(L67="","No Coupon",L67)</f>
        <v>No Coupon</v>
      </c>
      <c r="P67" t="str">
        <f>IF(OR(N67&lt;EDA!$H$1,N67&gt;EDA!$H$2),"Outlier","Normal")</f>
        <v>Normal</v>
      </c>
    </row>
    <row r="68" spans="1:16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  <c r="O68" t="str">
        <f t="shared" si="1"/>
        <v>SAVE10</v>
      </c>
      <c r="P68" t="str">
        <f>IF(OR(N68&lt;EDA!$H$1,N68&gt;EDA!$H$2),"Outlier","Normal")</f>
        <v>Normal</v>
      </c>
    </row>
    <row r="69" spans="1:16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5">
        <v>48.4</v>
      </c>
      <c r="O69" t="str">
        <f t="shared" si="1"/>
        <v>No Coupon</v>
      </c>
      <c r="P69" t="str">
        <f>IF(OR(N69&lt;EDA!$H$1,N69&gt;EDA!$H$2),"Outlier","Normal")</f>
        <v>Normal</v>
      </c>
    </row>
    <row r="70" spans="1:16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  <c r="O70" t="str">
        <f t="shared" si="1"/>
        <v>FREESHIP</v>
      </c>
      <c r="P70" t="str">
        <f>IF(OR(N70&lt;EDA!$H$1,N70&gt;EDA!$H$2),"Outlier","Normal")</f>
        <v>Normal</v>
      </c>
    </row>
    <row r="71" spans="1:16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5">
        <v>1435.95</v>
      </c>
      <c r="O71" t="str">
        <f t="shared" si="1"/>
        <v>No Coupon</v>
      </c>
      <c r="P71" t="str">
        <f>IF(OR(N71&lt;EDA!$H$1,N71&gt;EDA!$H$2),"Outlier","Normal")</f>
        <v>Normal</v>
      </c>
    </row>
    <row r="72" spans="1:16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  <c r="O72" t="str">
        <f t="shared" si="1"/>
        <v>FREESHIP</v>
      </c>
      <c r="P72" t="str">
        <f>IF(OR(N72&lt;EDA!$H$1,N72&gt;EDA!$H$2),"Outlier","Normal")</f>
        <v>Normal</v>
      </c>
    </row>
    <row r="73" spans="1:16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5">
        <v>1303.3499999999999</v>
      </c>
      <c r="O73" t="str">
        <f t="shared" si="1"/>
        <v>No Coupon</v>
      </c>
      <c r="P73" t="str">
        <f>IF(OR(N73&lt;EDA!$H$1,N73&gt;EDA!$H$2),"Outlier","Normal")</f>
        <v>Normal</v>
      </c>
    </row>
    <row r="74" spans="1:16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5">
        <v>2357.7600000000002</v>
      </c>
      <c r="O74" t="str">
        <f t="shared" si="1"/>
        <v>No Coupon</v>
      </c>
      <c r="P74" t="str">
        <f>IF(OR(N74&lt;EDA!$H$1,N74&gt;EDA!$H$2),"Outlier","Normal")</f>
        <v>Normal</v>
      </c>
    </row>
    <row r="75" spans="1:16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5">
        <v>1733.8</v>
      </c>
      <c r="O75" t="str">
        <f t="shared" si="1"/>
        <v>No Coupon</v>
      </c>
      <c r="P75" t="str">
        <f>IF(OR(N75&lt;EDA!$H$1,N75&gt;EDA!$H$2),"Outlier","Normal")</f>
        <v>Normal</v>
      </c>
    </row>
    <row r="76" spans="1:16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5">
        <v>454.35</v>
      </c>
      <c r="O76" t="str">
        <f t="shared" si="1"/>
        <v>No Coupon</v>
      </c>
      <c r="P76" t="str">
        <f>IF(OR(N76&lt;EDA!$H$1,N76&gt;EDA!$H$2),"Outlier","Normal")</f>
        <v>Normal</v>
      </c>
    </row>
    <row r="77" spans="1:16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  <c r="O77" t="str">
        <f t="shared" si="1"/>
        <v>SAVE10</v>
      </c>
      <c r="P77" t="str">
        <f>IF(OR(N77&lt;EDA!$H$1,N77&gt;EDA!$H$2),"Outlier","Normal")</f>
        <v>Normal</v>
      </c>
    </row>
    <row r="78" spans="1:16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  <c r="O78" t="str">
        <f t="shared" si="1"/>
        <v>WINTER15</v>
      </c>
      <c r="P78" t="str">
        <f>IF(OR(N78&lt;EDA!$H$1,N78&gt;EDA!$H$2),"Outlier","Normal")</f>
        <v>Normal</v>
      </c>
    </row>
    <row r="79" spans="1:16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5">
        <v>583.17999999999995</v>
      </c>
      <c r="O79" t="str">
        <f t="shared" si="1"/>
        <v>No Coupon</v>
      </c>
      <c r="P79" t="str">
        <f>IF(OR(N79&lt;EDA!$H$1,N79&gt;EDA!$H$2),"Outlier","Normal")</f>
        <v>Normal</v>
      </c>
    </row>
    <row r="80" spans="1:16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  <c r="O80" t="str">
        <f t="shared" si="1"/>
        <v>FREESHIP</v>
      </c>
      <c r="P80" t="str">
        <f>IF(OR(N80&lt;EDA!$H$1,N80&gt;EDA!$H$2),"Outlier","Normal")</f>
        <v>Normal</v>
      </c>
    </row>
    <row r="81" spans="1:16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5">
        <v>623.82000000000005</v>
      </c>
      <c r="O81" t="str">
        <f t="shared" si="1"/>
        <v>No Coupon</v>
      </c>
      <c r="P81" t="str">
        <f>IF(OR(N81&lt;EDA!$H$1,N81&gt;EDA!$H$2),"Outlier","Normal")</f>
        <v>Normal</v>
      </c>
    </row>
    <row r="82" spans="1:16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5">
        <v>1768.68</v>
      </c>
      <c r="O82" t="str">
        <f t="shared" si="1"/>
        <v>No Coupon</v>
      </c>
      <c r="P82" t="str">
        <f>IF(OR(N82&lt;EDA!$H$1,N82&gt;EDA!$H$2),"Outlier","Normal")</f>
        <v>Normal</v>
      </c>
    </row>
    <row r="83" spans="1:16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  <c r="O83" t="str">
        <f t="shared" si="1"/>
        <v>FREESHIP</v>
      </c>
      <c r="P83" t="str">
        <f>IF(OR(N83&lt;EDA!$H$1,N83&gt;EDA!$H$2),"Outlier","Normal")</f>
        <v>Normal</v>
      </c>
    </row>
    <row r="84" spans="1:16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  <c r="O84" t="str">
        <f t="shared" si="1"/>
        <v>SAVE10</v>
      </c>
      <c r="P84" t="str">
        <f>IF(OR(N84&lt;EDA!$H$1,N84&gt;EDA!$H$2),"Outlier","Normal")</f>
        <v>Normal</v>
      </c>
    </row>
    <row r="85" spans="1:16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5">
        <v>2161.64</v>
      </c>
      <c r="O85" t="str">
        <f t="shared" si="1"/>
        <v>No Coupon</v>
      </c>
      <c r="P85" t="str">
        <f>IF(OR(N85&lt;EDA!$H$1,N85&gt;EDA!$H$2),"Outlier","Normal")</f>
        <v>Normal</v>
      </c>
    </row>
    <row r="86" spans="1:16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  <c r="O86" t="str">
        <f t="shared" si="1"/>
        <v>WINTER15</v>
      </c>
      <c r="P86" t="str">
        <f>IF(OR(N86&lt;EDA!$H$1,N86&gt;EDA!$H$2),"Outlier","Normal")</f>
        <v>Normal</v>
      </c>
    </row>
    <row r="87" spans="1:16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  <c r="O87" t="str">
        <f t="shared" si="1"/>
        <v>FREESHIP</v>
      </c>
      <c r="P87" t="str">
        <f>IF(OR(N87&lt;EDA!$H$1,N87&gt;EDA!$H$2),"Outlier","Normal")</f>
        <v>Normal</v>
      </c>
    </row>
    <row r="88" spans="1:16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  <c r="O88" t="str">
        <f t="shared" si="1"/>
        <v>FREESHIP</v>
      </c>
      <c r="P88" t="str">
        <f>IF(OR(N88&lt;EDA!$H$1,N88&gt;EDA!$H$2),"Outlier","Normal")</f>
        <v>Normal</v>
      </c>
    </row>
    <row r="89" spans="1:16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  <c r="O89" t="str">
        <f t="shared" si="1"/>
        <v>SAVE10</v>
      </c>
      <c r="P89" t="str">
        <f>IF(OR(N89&lt;EDA!$H$1,N89&gt;EDA!$H$2),"Outlier","Normal")</f>
        <v>Normal</v>
      </c>
    </row>
    <row r="90" spans="1:16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5">
        <v>344.43</v>
      </c>
      <c r="O90" t="str">
        <f t="shared" si="1"/>
        <v>No Coupon</v>
      </c>
      <c r="P90" t="str">
        <f>IF(OR(N90&lt;EDA!$H$1,N90&gt;EDA!$H$2),"Outlier","Normal")</f>
        <v>Normal</v>
      </c>
    </row>
    <row r="91" spans="1:16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  <c r="O91" t="str">
        <f t="shared" si="1"/>
        <v>FREESHIP</v>
      </c>
      <c r="P91" t="str">
        <f>IF(OR(N91&lt;EDA!$H$1,N91&gt;EDA!$H$2),"Outlier","Normal")</f>
        <v>Normal</v>
      </c>
    </row>
    <row r="92" spans="1:16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  <c r="O92" t="str">
        <f t="shared" si="1"/>
        <v>SAVE10</v>
      </c>
      <c r="P92" t="str">
        <f>IF(OR(N92&lt;EDA!$H$1,N92&gt;EDA!$H$2),"Outlier","Normal")</f>
        <v>Normal</v>
      </c>
    </row>
    <row r="93" spans="1:16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  <c r="O93" t="str">
        <f t="shared" si="1"/>
        <v>WINTER15</v>
      </c>
      <c r="P93" t="str">
        <f>IF(OR(N93&lt;EDA!$H$1,N93&gt;EDA!$H$2),"Outlier","Normal")</f>
        <v>Normal</v>
      </c>
    </row>
    <row r="94" spans="1:16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  <c r="O94" t="str">
        <f t="shared" si="1"/>
        <v>FREESHIP</v>
      </c>
      <c r="P94" t="str">
        <f>IF(OR(N94&lt;EDA!$H$1,N94&gt;EDA!$H$2),"Outlier","Normal")</f>
        <v>Normal</v>
      </c>
    </row>
    <row r="95" spans="1:16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5">
        <v>1724.04</v>
      </c>
      <c r="O95" t="str">
        <f t="shared" si="1"/>
        <v>No Coupon</v>
      </c>
      <c r="P95" t="str">
        <f>IF(OR(N95&lt;EDA!$H$1,N95&gt;EDA!$H$2),"Outlier","Normal")</f>
        <v>Normal</v>
      </c>
    </row>
    <row r="96" spans="1:16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  <c r="O96" t="str">
        <f t="shared" si="1"/>
        <v>WINTER15</v>
      </c>
      <c r="P96" t="str">
        <f>IF(OR(N96&lt;EDA!$H$1,N96&gt;EDA!$H$2),"Outlier","Normal")</f>
        <v>Normal</v>
      </c>
    </row>
    <row r="97" spans="1:16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5">
        <v>470.04</v>
      </c>
      <c r="O97" t="str">
        <f t="shared" si="1"/>
        <v>No Coupon</v>
      </c>
      <c r="P97" t="str">
        <f>IF(OR(N97&lt;EDA!$H$1,N97&gt;EDA!$H$2),"Outlier","Normal")</f>
        <v>Normal</v>
      </c>
    </row>
    <row r="98" spans="1:16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5">
        <v>465.66</v>
      </c>
      <c r="O98" t="str">
        <f t="shared" si="1"/>
        <v>No Coupon</v>
      </c>
      <c r="P98" t="str">
        <f>IF(OR(N98&lt;EDA!$H$1,N98&gt;EDA!$H$2),"Outlier","Normal")</f>
        <v>Normal</v>
      </c>
    </row>
    <row r="99" spans="1:16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5">
        <v>3097.6</v>
      </c>
      <c r="O99" t="str">
        <f t="shared" si="1"/>
        <v>No Coupon</v>
      </c>
      <c r="P99" t="str">
        <f>IF(OR(N99&lt;EDA!$H$1,N99&gt;EDA!$H$2),"Outlier","Normal")</f>
        <v>Normal</v>
      </c>
    </row>
    <row r="100" spans="1:16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5">
        <v>457.08</v>
      </c>
      <c r="O100" t="str">
        <f t="shared" si="1"/>
        <v>No Coupon</v>
      </c>
      <c r="P100" t="str">
        <f>IF(OR(N100&lt;EDA!$H$1,N100&gt;EDA!$H$2),"Outlier","Normal")</f>
        <v>Normal</v>
      </c>
    </row>
    <row r="101" spans="1:16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  <c r="O101" t="str">
        <f t="shared" si="1"/>
        <v>WINTER15</v>
      </c>
      <c r="P101" t="str">
        <f>IF(OR(N101&lt;EDA!$H$1,N101&gt;EDA!$H$2),"Outlier","Normal")</f>
        <v>Normal</v>
      </c>
    </row>
    <row r="102" spans="1:16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5">
        <v>1994.37</v>
      </c>
      <c r="O102" t="str">
        <f t="shared" si="1"/>
        <v>No Coupon</v>
      </c>
      <c r="P102" t="str">
        <f>IF(OR(N102&lt;EDA!$H$1,N102&gt;EDA!$H$2),"Outlier","Normal")</f>
        <v>Normal</v>
      </c>
    </row>
    <row r="103" spans="1:16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5">
        <v>381.02</v>
      </c>
      <c r="O103" t="str">
        <f t="shared" si="1"/>
        <v>No Coupon</v>
      </c>
      <c r="P103" t="str">
        <f>IF(OR(N103&lt;EDA!$H$1,N103&gt;EDA!$H$2),"Outlier","Normal")</f>
        <v>Normal</v>
      </c>
    </row>
    <row r="104" spans="1:16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  <c r="O104" t="str">
        <f t="shared" si="1"/>
        <v>FREESHIP</v>
      </c>
      <c r="P104" t="str">
        <f>IF(OR(N104&lt;EDA!$H$1,N104&gt;EDA!$H$2),"Outlier","Normal")</f>
        <v>Normal</v>
      </c>
    </row>
    <row r="105" spans="1:16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  <c r="O105" t="str">
        <f t="shared" si="1"/>
        <v>SAVE10</v>
      </c>
      <c r="P105" t="str">
        <f>IF(OR(N105&lt;EDA!$H$1,N105&gt;EDA!$H$2),"Outlier","Normal")</f>
        <v>Normal</v>
      </c>
    </row>
    <row r="106" spans="1:16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  <c r="O106" t="str">
        <f t="shared" si="1"/>
        <v>FREESHIP</v>
      </c>
      <c r="P106" t="str">
        <f>IF(OR(N106&lt;EDA!$H$1,N106&gt;EDA!$H$2),"Outlier","Normal")</f>
        <v>Normal</v>
      </c>
    </row>
    <row r="107" spans="1:16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5">
        <v>556.20000000000005</v>
      </c>
      <c r="O107" t="str">
        <f t="shared" si="1"/>
        <v>No Coupon</v>
      </c>
      <c r="P107" t="str">
        <f>IF(OR(N107&lt;EDA!$H$1,N107&gt;EDA!$H$2),"Outlier","Normal")</f>
        <v>Normal</v>
      </c>
    </row>
    <row r="108" spans="1:16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  <c r="O108" t="str">
        <f t="shared" si="1"/>
        <v>SAVE10</v>
      </c>
      <c r="P108" t="str">
        <f>IF(OR(N108&lt;EDA!$H$1,N108&gt;EDA!$H$2),"Outlier","Normal")</f>
        <v>Normal</v>
      </c>
    </row>
    <row r="109" spans="1:16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  <c r="O109" t="str">
        <f t="shared" si="1"/>
        <v>FREESHIP</v>
      </c>
      <c r="P109" t="str">
        <f>IF(OR(N109&lt;EDA!$H$1,N109&gt;EDA!$H$2),"Outlier","Normal")</f>
        <v>Outlier</v>
      </c>
    </row>
    <row r="110" spans="1:16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  <c r="O110" t="str">
        <f t="shared" si="1"/>
        <v>WINTER15</v>
      </c>
      <c r="P110" t="str">
        <f>IF(OR(N110&lt;EDA!$H$1,N110&gt;EDA!$H$2),"Outlier","Normal")</f>
        <v>Normal</v>
      </c>
    </row>
    <row r="111" spans="1:16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  <c r="O111" t="str">
        <f t="shared" si="1"/>
        <v>FREESHIP</v>
      </c>
      <c r="P111" t="str">
        <f>IF(OR(N111&lt;EDA!$H$1,N111&gt;EDA!$H$2),"Outlier","Normal")</f>
        <v>Normal</v>
      </c>
    </row>
    <row r="112" spans="1:16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  <c r="O112" t="str">
        <f t="shared" si="1"/>
        <v>FREESHIP</v>
      </c>
      <c r="P112" t="str">
        <f>IF(OR(N112&lt;EDA!$H$1,N112&gt;EDA!$H$2),"Outlier","Normal")</f>
        <v>Normal</v>
      </c>
    </row>
    <row r="113" spans="1:16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  <c r="O113" t="str">
        <f t="shared" si="1"/>
        <v>FREESHIP</v>
      </c>
      <c r="P113" t="str">
        <f>IF(OR(N113&lt;EDA!$H$1,N113&gt;EDA!$H$2),"Outlier","Normal")</f>
        <v>Normal</v>
      </c>
    </row>
    <row r="114" spans="1:16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  <c r="O114" t="str">
        <f t="shared" si="1"/>
        <v>WINTER15</v>
      </c>
      <c r="P114" t="str">
        <f>IF(OR(N114&lt;EDA!$H$1,N114&gt;EDA!$H$2),"Outlier","Normal")</f>
        <v>Normal</v>
      </c>
    </row>
    <row r="115" spans="1:16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  <c r="O115" t="str">
        <f t="shared" si="1"/>
        <v>FREESHIP</v>
      </c>
      <c r="P115" t="str">
        <f>IF(OR(N115&lt;EDA!$H$1,N115&gt;EDA!$H$2),"Outlier","Normal")</f>
        <v>Normal</v>
      </c>
    </row>
    <row r="116" spans="1:16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  <c r="O116" t="str">
        <f t="shared" si="1"/>
        <v>SAVE10</v>
      </c>
      <c r="P116" t="str">
        <f>IF(OR(N116&lt;EDA!$H$1,N116&gt;EDA!$H$2),"Outlier","Normal")</f>
        <v>Normal</v>
      </c>
    </row>
    <row r="117" spans="1:16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  <c r="O117" t="str">
        <f t="shared" si="1"/>
        <v>SAVE10</v>
      </c>
      <c r="P117" t="str">
        <f>IF(OR(N117&lt;EDA!$H$1,N117&gt;EDA!$H$2),"Outlier","Normal")</f>
        <v>Normal</v>
      </c>
    </row>
    <row r="118" spans="1:16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  <c r="O118" t="str">
        <f t="shared" si="1"/>
        <v>WINTER15</v>
      </c>
      <c r="P118" t="str">
        <f>IF(OR(N118&lt;EDA!$H$1,N118&gt;EDA!$H$2),"Outlier","Normal")</f>
        <v>Normal</v>
      </c>
    </row>
    <row r="119" spans="1:16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  <c r="O119" t="str">
        <f t="shared" si="1"/>
        <v>WINTER15</v>
      </c>
      <c r="P119" t="str">
        <f>IF(OR(N119&lt;EDA!$H$1,N119&gt;EDA!$H$2),"Outlier","Normal")</f>
        <v>Normal</v>
      </c>
    </row>
    <row r="120" spans="1:16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  <c r="O120" t="str">
        <f t="shared" si="1"/>
        <v>FREESHIP</v>
      </c>
      <c r="P120" t="str">
        <f>IF(OR(N120&lt;EDA!$H$1,N120&gt;EDA!$H$2),"Outlier","Normal")</f>
        <v>Normal</v>
      </c>
    </row>
    <row r="121" spans="1:16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  <c r="O121" t="str">
        <f t="shared" si="1"/>
        <v>FREESHIP</v>
      </c>
      <c r="P121" t="str">
        <f>IF(OR(N121&lt;EDA!$H$1,N121&gt;EDA!$H$2),"Outlier","Normal")</f>
        <v>Normal</v>
      </c>
    </row>
    <row r="122" spans="1:16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  <c r="O122" t="str">
        <f t="shared" si="1"/>
        <v>WINTER15</v>
      </c>
      <c r="P122" t="str">
        <f>IF(OR(N122&lt;EDA!$H$1,N122&gt;EDA!$H$2),"Outlier","Normal")</f>
        <v>Normal</v>
      </c>
    </row>
    <row r="123" spans="1:16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  <c r="O123" t="str">
        <f t="shared" si="1"/>
        <v>FREESHIP</v>
      </c>
      <c r="P123" t="str">
        <f>IF(OR(N123&lt;EDA!$H$1,N123&gt;EDA!$H$2),"Outlier","Normal")</f>
        <v>Normal</v>
      </c>
    </row>
    <row r="124" spans="1:16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5">
        <v>1066.04</v>
      </c>
      <c r="O124" t="str">
        <f t="shared" si="1"/>
        <v>No Coupon</v>
      </c>
      <c r="P124" t="str">
        <f>IF(OR(N124&lt;EDA!$H$1,N124&gt;EDA!$H$2),"Outlier","Normal")</f>
        <v>Normal</v>
      </c>
    </row>
    <row r="125" spans="1:16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5">
        <v>834.12000000000012</v>
      </c>
      <c r="O125" t="str">
        <f t="shared" si="1"/>
        <v>No Coupon</v>
      </c>
      <c r="P125" t="str">
        <f>IF(OR(N125&lt;EDA!$H$1,N125&gt;EDA!$H$2),"Outlier","Normal")</f>
        <v>Normal</v>
      </c>
    </row>
    <row r="126" spans="1:16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5">
        <v>1135.1600000000001</v>
      </c>
      <c r="O126" t="str">
        <f t="shared" si="1"/>
        <v>No Coupon</v>
      </c>
      <c r="P126" t="str">
        <f>IF(OR(N126&lt;EDA!$H$1,N126&gt;EDA!$H$2),"Outlier","Normal")</f>
        <v>Normal</v>
      </c>
    </row>
    <row r="127" spans="1:16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  <c r="O127" t="str">
        <f t="shared" si="1"/>
        <v>SAVE10</v>
      </c>
      <c r="P127" t="str">
        <f>IF(OR(N127&lt;EDA!$H$1,N127&gt;EDA!$H$2),"Outlier","Normal")</f>
        <v>Normal</v>
      </c>
    </row>
    <row r="128" spans="1:16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  <c r="O128" t="str">
        <f t="shared" si="1"/>
        <v>FREESHIP</v>
      </c>
      <c r="P128" t="str">
        <f>IF(OR(N128&lt;EDA!$H$1,N128&gt;EDA!$H$2),"Outlier","Normal")</f>
        <v>Normal</v>
      </c>
    </row>
    <row r="129" spans="1:16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5">
        <v>1407.96</v>
      </c>
      <c r="O129" t="str">
        <f t="shared" si="1"/>
        <v>No Coupon</v>
      </c>
      <c r="P129" t="str">
        <f>IF(OR(N129&lt;EDA!$H$1,N129&gt;EDA!$H$2),"Outlier","Normal")</f>
        <v>Normal</v>
      </c>
    </row>
    <row r="130" spans="1:16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  <c r="O130" t="str">
        <f t="shared" si="1"/>
        <v>FREESHIP</v>
      </c>
      <c r="P130" t="str">
        <f>IF(OR(N130&lt;EDA!$H$1,N130&gt;EDA!$H$2),"Outlier","Normal")</f>
        <v>Normal</v>
      </c>
    </row>
    <row r="131" spans="1:16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  <c r="O131" t="str">
        <f t="shared" ref="O131:O194" si="2">IF(L131="","No Coupon",L131)</f>
        <v>FREESHIP</v>
      </c>
      <c r="P131" t="str">
        <f>IF(OR(N131&lt;EDA!$H$1,N131&gt;EDA!$H$2),"Outlier","Normal")</f>
        <v>Normal</v>
      </c>
    </row>
    <row r="132" spans="1:16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  <c r="O132" t="str">
        <f t="shared" si="2"/>
        <v>WINTER15</v>
      </c>
      <c r="P132" t="str">
        <f>IF(OR(N132&lt;EDA!$H$1,N132&gt;EDA!$H$2),"Outlier","Normal")</f>
        <v>Normal</v>
      </c>
    </row>
    <row r="133" spans="1:16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5">
        <v>84.8</v>
      </c>
      <c r="O133" t="str">
        <f t="shared" si="2"/>
        <v>No Coupon</v>
      </c>
      <c r="P133" t="str">
        <f>IF(OR(N133&lt;EDA!$H$1,N133&gt;EDA!$H$2),"Outlier","Normal")</f>
        <v>Normal</v>
      </c>
    </row>
    <row r="134" spans="1:16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  <c r="O134" t="str">
        <f t="shared" si="2"/>
        <v>WINTER15</v>
      </c>
      <c r="P134" t="str">
        <f>IF(OR(N134&lt;EDA!$H$1,N134&gt;EDA!$H$2),"Outlier","Normal")</f>
        <v>Normal</v>
      </c>
    </row>
    <row r="135" spans="1:16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  <c r="O135" t="str">
        <f t="shared" si="2"/>
        <v>SAVE10</v>
      </c>
      <c r="P135" t="str">
        <f>IF(OR(N135&lt;EDA!$H$1,N135&gt;EDA!$H$2),"Outlier","Normal")</f>
        <v>Normal</v>
      </c>
    </row>
    <row r="136" spans="1:16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5">
        <v>399.4</v>
      </c>
      <c r="O136" t="str">
        <f t="shared" si="2"/>
        <v>No Coupon</v>
      </c>
      <c r="P136" t="str">
        <f>IF(OR(N136&lt;EDA!$H$1,N136&gt;EDA!$H$2),"Outlier","Normal")</f>
        <v>Normal</v>
      </c>
    </row>
    <row r="137" spans="1:16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  <c r="O137" t="str">
        <f t="shared" si="2"/>
        <v>SAVE10</v>
      </c>
      <c r="P137" t="str">
        <f>IF(OR(N137&lt;EDA!$H$1,N137&gt;EDA!$H$2),"Outlier","Normal")</f>
        <v>Normal</v>
      </c>
    </row>
    <row r="138" spans="1:16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  <c r="O138" t="str">
        <f t="shared" si="2"/>
        <v>SAVE10</v>
      </c>
      <c r="P138" t="str">
        <f>IF(OR(N138&lt;EDA!$H$1,N138&gt;EDA!$H$2),"Outlier","Normal")</f>
        <v>Normal</v>
      </c>
    </row>
    <row r="139" spans="1:16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5">
        <v>501.96</v>
      </c>
      <c r="O139" t="str">
        <f t="shared" si="2"/>
        <v>No Coupon</v>
      </c>
      <c r="P139" t="str">
        <f>IF(OR(N139&lt;EDA!$H$1,N139&gt;EDA!$H$2),"Outlier","Normal")</f>
        <v>Normal</v>
      </c>
    </row>
    <row r="140" spans="1:16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  <c r="O140" t="str">
        <f t="shared" si="2"/>
        <v>WINTER15</v>
      </c>
      <c r="P140" t="str">
        <f>IF(OR(N140&lt;EDA!$H$1,N140&gt;EDA!$H$2),"Outlier","Normal")</f>
        <v>Normal</v>
      </c>
    </row>
    <row r="141" spans="1:16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5">
        <v>583.9</v>
      </c>
      <c r="O141" t="str">
        <f t="shared" si="2"/>
        <v>No Coupon</v>
      </c>
      <c r="P141" t="str">
        <f>IF(OR(N141&lt;EDA!$H$1,N141&gt;EDA!$H$2),"Outlier","Normal")</f>
        <v>Normal</v>
      </c>
    </row>
    <row r="142" spans="1:16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  <c r="O142" t="str">
        <f t="shared" si="2"/>
        <v>FREESHIP</v>
      </c>
      <c r="P142" t="str">
        <f>IF(OR(N142&lt;EDA!$H$1,N142&gt;EDA!$H$2),"Outlier","Normal")</f>
        <v>Normal</v>
      </c>
    </row>
    <row r="143" spans="1:16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  <c r="O143" t="str">
        <f t="shared" si="2"/>
        <v>WINTER15</v>
      </c>
      <c r="P143" t="str">
        <f>IF(OR(N143&lt;EDA!$H$1,N143&gt;EDA!$H$2),"Outlier","Normal")</f>
        <v>Normal</v>
      </c>
    </row>
    <row r="144" spans="1:16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  <c r="O144" t="str">
        <f t="shared" si="2"/>
        <v>WINTER15</v>
      </c>
      <c r="P144" t="str">
        <f>IF(OR(N144&lt;EDA!$H$1,N144&gt;EDA!$H$2),"Outlier","Normal")</f>
        <v>Normal</v>
      </c>
    </row>
    <row r="145" spans="1:16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5">
        <v>1600.28</v>
      </c>
      <c r="O145" t="str">
        <f t="shared" si="2"/>
        <v>No Coupon</v>
      </c>
      <c r="P145" t="str">
        <f>IF(OR(N145&lt;EDA!$H$1,N145&gt;EDA!$H$2),"Outlier","Normal")</f>
        <v>Normal</v>
      </c>
    </row>
    <row r="146" spans="1:16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5">
        <v>1098.9000000000001</v>
      </c>
      <c r="O146" t="str">
        <f t="shared" si="2"/>
        <v>No Coupon</v>
      </c>
      <c r="P146" t="str">
        <f>IF(OR(N146&lt;EDA!$H$1,N146&gt;EDA!$H$2),"Outlier","Normal")</f>
        <v>Normal</v>
      </c>
    </row>
    <row r="147" spans="1:16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  <c r="O147" t="str">
        <f t="shared" si="2"/>
        <v>FREESHIP</v>
      </c>
      <c r="P147" t="str">
        <f>IF(OR(N147&lt;EDA!$H$1,N147&gt;EDA!$H$2),"Outlier","Normal")</f>
        <v>Normal</v>
      </c>
    </row>
    <row r="148" spans="1:16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5">
        <v>822.98</v>
      </c>
      <c r="O148" t="str">
        <f t="shared" si="2"/>
        <v>No Coupon</v>
      </c>
      <c r="P148" t="str">
        <f>IF(OR(N148&lt;EDA!$H$1,N148&gt;EDA!$H$2),"Outlier","Normal")</f>
        <v>Normal</v>
      </c>
    </row>
    <row r="149" spans="1:16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  <c r="O149" t="str">
        <f t="shared" si="2"/>
        <v>SAVE10</v>
      </c>
      <c r="P149" t="str">
        <f>IF(OR(N149&lt;EDA!$H$1,N149&gt;EDA!$H$2),"Outlier","Normal")</f>
        <v>Normal</v>
      </c>
    </row>
    <row r="150" spans="1:16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  <c r="O150" t="str">
        <f t="shared" si="2"/>
        <v>WINTER15</v>
      </c>
      <c r="P150" t="str">
        <f>IF(OR(N150&lt;EDA!$H$1,N150&gt;EDA!$H$2),"Outlier","Normal")</f>
        <v>Normal</v>
      </c>
    </row>
    <row r="151" spans="1:16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5">
        <v>217.56</v>
      </c>
      <c r="O151" t="str">
        <f t="shared" si="2"/>
        <v>No Coupon</v>
      </c>
      <c r="P151" t="str">
        <f>IF(OR(N151&lt;EDA!$H$1,N151&gt;EDA!$H$2),"Outlier","Normal")</f>
        <v>Normal</v>
      </c>
    </row>
    <row r="152" spans="1:16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  <c r="O152" t="str">
        <f t="shared" si="2"/>
        <v>WINTER15</v>
      </c>
      <c r="P152" t="str">
        <f>IF(OR(N152&lt;EDA!$H$1,N152&gt;EDA!$H$2),"Outlier","Normal")</f>
        <v>Normal</v>
      </c>
    </row>
    <row r="153" spans="1:16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5">
        <v>2223.8000000000002</v>
      </c>
      <c r="O153" t="str">
        <f t="shared" si="2"/>
        <v>No Coupon</v>
      </c>
      <c r="P153" t="str">
        <f>IF(OR(N153&lt;EDA!$H$1,N153&gt;EDA!$H$2),"Outlier","Normal")</f>
        <v>Normal</v>
      </c>
    </row>
    <row r="154" spans="1:16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  <c r="O154" t="str">
        <f t="shared" si="2"/>
        <v>FREESHIP</v>
      </c>
      <c r="P154" t="str">
        <f>IF(OR(N154&lt;EDA!$H$1,N154&gt;EDA!$H$2),"Outlier","Normal")</f>
        <v>Normal</v>
      </c>
    </row>
    <row r="155" spans="1:16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  <c r="O155" t="str">
        <f t="shared" si="2"/>
        <v>WINTER15</v>
      </c>
      <c r="P155" t="str">
        <f>IF(OR(N155&lt;EDA!$H$1,N155&gt;EDA!$H$2),"Outlier","Normal")</f>
        <v>Normal</v>
      </c>
    </row>
    <row r="156" spans="1:16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5">
        <v>1632.84</v>
      </c>
      <c r="O156" t="str">
        <f t="shared" si="2"/>
        <v>No Coupon</v>
      </c>
      <c r="P156" t="str">
        <f>IF(OR(N156&lt;EDA!$H$1,N156&gt;EDA!$H$2),"Outlier","Normal")</f>
        <v>Normal</v>
      </c>
    </row>
    <row r="157" spans="1:16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  <c r="O157" t="str">
        <f t="shared" si="2"/>
        <v>WINTER15</v>
      </c>
      <c r="P157" t="str">
        <f>IF(OR(N157&lt;EDA!$H$1,N157&gt;EDA!$H$2),"Outlier","Normal")</f>
        <v>Normal</v>
      </c>
    </row>
    <row r="158" spans="1:16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  <c r="O158" t="str">
        <f t="shared" si="2"/>
        <v>SAVE10</v>
      </c>
      <c r="P158" t="str">
        <f>IF(OR(N158&lt;EDA!$H$1,N158&gt;EDA!$H$2),"Outlier","Normal")</f>
        <v>Normal</v>
      </c>
    </row>
    <row r="159" spans="1:16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  <c r="O159" t="str">
        <f t="shared" si="2"/>
        <v>WINTER15</v>
      </c>
      <c r="P159" t="str">
        <f>IF(OR(N159&lt;EDA!$H$1,N159&gt;EDA!$H$2),"Outlier","Normal")</f>
        <v>Normal</v>
      </c>
    </row>
    <row r="160" spans="1:16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  <c r="O160" t="str">
        <f t="shared" si="2"/>
        <v>WINTER15</v>
      </c>
      <c r="P160" t="str">
        <f>IF(OR(N160&lt;EDA!$H$1,N160&gt;EDA!$H$2),"Outlier","Normal")</f>
        <v>Normal</v>
      </c>
    </row>
    <row r="161" spans="1:16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  <c r="O161" t="str">
        <f t="shared" si="2"/>
        <v>WINTER15</v>
      </c>
      <c r="P161" t="str">
        <f>IF(OR(N161&lt;EDA!$H$1,N161&gt;EDA!$H$2),"Outlier","Normal")</f>
        <v>Normal</v>
      </c>
    </row>
    <row r="162" spans="1:16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5">
        <v>405.28</v>
      </c>
      <c r="O162" t="str">
        <f t="shared" si="2"/>
        <v>No Coupon</v>
      </c>
      <c r="P162" t="str">
        <f>IF(OR(N162&lt;EDA!$H$1,N162&gt;EDA!$H$2),"Outlier","Normal")</f>
        <v>Normal</v>
      </c>
    </row>
    <row r="163" spans="1:16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  <c r="O163" t="str">
        <f t="shared" si="2"/>
        <v>SAVE10</v>
      </c>
      <c r="P163" t="str">
        <f>IF(OR(N163&lt;EDA!$H$1,N163&gt;EDA!$H$2),"Outlier","Normal")</f>
        <v>Normal</v>
      </c>
    </row>
    <row r="164" spans="1:16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  <c r="O164" t="str">
        <f t="shared" si="2"/>
        <v>WINTER15</v>
      </c>
      <c r="P164" t="str">
        <f>IF(OR(N164&lt;EDA!$H$1,N164&gt;EDA!$H$2),"Outlier","Normal")</f>
        <v>Normal</v>
      </c>
    </row>
    <row r="165" spans="1:16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5">
        <v>641.39</v>
      </c>
      <c r="O165" t="str">
        <f t="shared" si="2"/>
        <v>No Coupon</v>
      </c>
      <c r="P165" t="str">
        <f>IF(OR(N165&lt;EDA!$H$1,N165&gt;EDA!$H$2),"Outlier","Normal")</f>
        <v>Normal</v>
      </c>
    </row>
    <row r="166" spans="1:16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  <c r="O166" t="str">
        <f t="shared" si="2"/>
        <v>SAVE10</v>
      </c>
      <c r="P166" t="str">
        <f>IF(OR(N166&lt;EDA!$H$1,N166&gt;EDA!$H$2),"Outlier","Normal")</f>
        <v>Normal</v>
      </c>
    </row>
    <row r="167" spans="1:16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  <c r="O167" t="str">
        <f t="shared" si="2"/>
        <v>WINTER15</v>
      </c>
      <c r="P167" t="str">
        <f>IF(OR(N167&lt;EDA!$H$1,N167&gt;EDA!$H$2),"Outlier","Normal")</f>
        <v>Normal</v>
      </c>
    </row>
    <row r="168" spans="1:16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  <c r="O168" t="str">
        <f t="shared" si="2"/>
        <v>WINTER15</v>
      </c>
      <c r="P168" t="str">
        <f>IF(OR(N168&lt;EDA!$H$1,N168&gt;EDA!$H$2),"Outlier","Normal")</f>
        <v>Normal</v>
      </c>
    </row>
    <row r="169" spans="1:16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  <c r="O169" t="str">
        <f t="shared" si="2"/>
        <v>WINTER15</v>
      </c>
      <c r="P169" t="str">
        <f>IF(OR(N169&lt;EDA!$H$1,N169&gt;EDA!$H$2),"Outlier","Normal")</f>
        <v>Normal</v>
      </c>
    </row>
    <row r="170" spans="1:16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5">
        <v>594.96</v>
      </c>
      <c r="O170" t="str">
        <f t="shared" si="2"/>
        <v>No Coupon</v>
      </c>
      <c r="P170" t="str">
        <f>IF(OR(N170&lt;EDA!$H$1,N170&gt;EDA!$H$2),"Outlier","Normal")</f>
        <v>Normal</v>
      </c>
    </row>
    <row r="171" spans="1:16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  <c r="O171" t="str">
        <f t="shared" si="2"/>
        <v>WINTER15</v>
      </c>
      <c r="P171" t="str">
        <f>IF(OR(N171&lt;EDA!$H$1,N171&gt;EDA!$H$2),"Outlier","Normal")</f>
        <v>Normal</v>
      </c>
    </row>
    <row r="172" spans="1:16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  <c r="O172" t="str">
        <f t="shared" si="2"/>
        <v>SAVE10</v>
      </c>
      <c r="P172" t="str">
        <f>IF(OR(N172&lt;EDA!$H$1,N172&gt;EDA!$H$2),"Outlier","Normal")</f>
        <v>Normal</v>
      </c>
    </row>
    <row r="173" spans="1:16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  <c r="O173" t="str">
        <f t="shared" si="2"/>
        <v>WINTER15</v>
      </c>
      <c r="P173" t="str">
        <f>IF(OR(N173&lt;EDA!$H$1,N173&gt;EDA!$H$2),"Outlier","Normal")</f>
        <v>Normal</v>
      </c>
    </row>
    <row r="174" spans="1:16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  <c r="O174" t="str">
        <f t="shared" si="2"/>
        <v>WINTER15</v>
      </c>
      <c r="P174" t="str">
        <f>IF(OR(N174&lt;EDA!$H$1,N174&gt;EDA!$H$2),"Outlier","Normal")</f>
        <v>Normal</v>
      </c>
    </row>
    <row r="175" spans="1:16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  <c r="O175" t="str">
        <f t="shared" si="2"/>
        <v>FREESHIP</v>
      </c>
      <c r="P175" t="str">
        <f>IF(OR(N175&lt;EDA!$H$1,N175&gt;EDA!$H$2),"Outlier","Normal")</f>
        <v>Normal</v>
      </c>
    </row>
    <row r="176" spans="1:16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  <c r="O176" t="str">
        <f t="shared" si="2"/>
        <v>SAVE10</v>
      </c>
      <c r="P176" t="str">
        <f>IF(OR(N176&lt;EDA!$H$1,N176&gt;EDA!$H$2),"Outlier","Normal")</f>
        <v>Normal</v>
      </c>
    </row>
    <row r="177" spans="1:16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  <c r="O177" t="str">
        <f t="shared" si="2"/>
        <v>WINTER15</v>
      </c>
      <c r="P177" t="str">
        <f>IF(OR(N177&lt;EDA!$H$1,N177&gt;EDA!$H$2),"Outlier","Normal")</f>
        <v>Normal</v>
      </c>
    </row>
    <row r="178" spans="1:16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  <c r="O178" t="str">
        <f t="shared" si="2"/>
        <v>WINTER15</v>
      </c>
      <c r="P178" t="str">
        <f>IF(OR(N178&lt;EDA!$H$1,N178&gt;EDA!$H$2),"Outlier","Normal")</f>
        <v>Normal</v>
      </c>
    </row>
    <row r="179" spans="1:16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5">
        <v>2158.4499999999998</v>
      </c>
      <c r="O179" t="str">
        <f t="shared" si="2"/>
        <v>No Coupon</v>
      </c>
      <c r="P179" t="str">
        <f>IF(OR(N179&lt;EDA!$H$1,N179&gt;EDA!$H$2),"Outlier","Normal")</f>
        <v>Normal</v>
      </c>
    </row>
    <row r="180" spans="1:16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  <c r="O180" t="str">
        <f t="shared" si="2"/>
        <v>SAVE10</v>
      </c>
      <c r="P180" t="str">
        <f>IF(OR(N180&lt;EDA!$H$1,N180&gt;EDA!$H$2),"Outlier","Normal")</f>
        <v>Normal</v>
      </c>
    </row>
    <row r="181" spans="1:16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5">
        <v>1619.73</v>
      </c>
      <c r="O181" t="str">
        <f t="shared" si="2"/>
        <v>No Coupon</v>
      </c>
      <c r="P181" t="str">
        <f>IF(OR(N181&lt;EDA!$H$1,N181&gt;EDA!$H$2),"Outlier","Normal")</f>
        <v>Normal</v>
      </c>
    </row>
    <row r="182" spans="1:16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5">
        <v>1580.35</v>
      </c>
      <c r="O182" t="str">
        <f t="shared" si="2"/>
        <v>No Coupon</v>
      </c>
      <c r="P182" t="str">
        <f>IF(OR(N182&lt;EDA!$H$1,N182&gt;EDA!$H$2),"Outlier","Normal")</f>
        <v>Normal</v>
      </c>
    </row>
    <row r="183" spans="1:16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5">
        <v>2021.95</v>
      </c>
      <c r="O183" t="str">
        <f t="shared" si="2"/>
        <v>No Coupon</v>
      </c>
      <c r="P183" t="str">
        <f>IF(OR(N183&lt;EDA!$H$1,N183&gt;EDA!$H$2),"Outlier","Normal")</f>
        <v>Normal</v>
      </c>
    </row>
    <row r="184" spans="1:16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  <c r="O184" t="str">
        <f t="shared" si="2"/>
        <v>WINTER15</v>
      </c>
      <c r="P184" t="str">
        <f>IF(OR(N184&lt;EDA!$H$1,N184&gt;EDA!$H$2),"Outlier","Normal")</f>
        <v>Normal</v>
      </c>
    </row>
    <row r="185" spans="1:16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  <c r="O185" t="str">
        <f t="shared" si="2"/>
        <v>SAVE10</v>
      </c>
      <c r="P185" t="str">
        <f>IF(OR(N185&lt;EDA!$H$1,N185&gt;EDA!$H$2),"Outlier","Normal")</f>
        <v>Normal</v>
      </c>
    </row>
    <row r="186" spans="1:16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5">
        <v>858.16</v>
      </c>
      <c r="O186" t="str">
        <f t="shared" si="2"/>
        <v>No Coupon</v>
      </c>
      <c r="P186" t="str">
        <f>IF(OR(N186&lt;EDA!$H$1,N186&gt;EDA!$H$2),"Outlier","Normal")</f>
        <v>Normal</v>
      </c>
    </row>
    <row r="187" spans="1:16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  <c r="O187" t="str">
        <f t="shared" si="2"/>
        <v>WINTER15</v>
      </c>
      <c r="P187" t="str">
        <f>IF(OR(N187&lt;EDA!$H$1,N187&gt;EDA!$H$2),"Outlier","Normal")</f>
        <v>Normal</v>
      </c>
    </row>
    <row r="188" spans="1:16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  <c r="O188" t="str">
        <f t="shared" si="2"/>
        <v>FREESHIP</v>
      </c>
      <c r="P188" t="str">
        <f>IF(OR(N188&lt;EDA!$H$1,N188&gt;EDA!$H$2),"Outlier","Normal")</f>
        <v>Normal</v>
      </c>
    </row>
    <row r="189" spans="1:16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  <c r="O189" t="str">
        <f t="shared" si="2"/>
        <v>FREESHIP</v>
      </c>
      <c r="P189" t="str">
        <f>IF(OR(N189&lt;EDA!$H$1,N189&gt;EDA!$H$2),"Outlier","Normal")</f>
        <v>Normal</v>
      </c>
    </row>
    <row r="190" spans="1:16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  <c r="O190" t="str">
        <f t="shared" si="2"/>
        <v>FREESHIP</v>
      </c>
      <c r="P190" t="str">
        <f>IF(OR(N190&lt;EDA!$H$1,N190&gt;EDA!$H$2),"Outlier","Normal")</f>
        <v>Normal</v>
      </c>
    </row>
    <row r="191" spans="1:16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  <c r="O191" t="str">
        <f t="shared" si="2"/>
        <v>WINTER15</v>
      </c>
      <c r="P191" t="str">
        <f>IF(OR(N191&lt;EDA!$H$1,N191&gt;EDA!$H$2),"Outlier","Normal")</f>
        <v>Normal</v>
      </c>
    </row>
    <row r="192" spans="1:16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  <c r="O192" t="str">
        <f t="shared" si="2"/>
        <v>SAVE10</v>
      </c>
      <c r="P192" t="str">
        <f>IF(OR(N192&lt;EDA!$H$1,N192&gt;EDA!$H$2),"Outlier","Normal")</f>
        <v>Normal</v>
      </c>
    </row>
    <row r="193" spans="1:16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  <c r="O193" t="str">
        <f t="shared" si="2"/>
        <v>FREESHIP</v>
      </c>
      <c r="P193" t="str">
        <f>IF(OR(N193&lt;EDA!$H$1,N193&gt;EDA!$H$2),"Outlier","Normal")</f>
        <v>Normal</v>
      </c>
    </row>
    <row r="194" spans="1:16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  <c r="O194" t="str">
        <f t="shared" si="2"/>
        <v>SAVE10</v>
      </c>
      <c r="P194" t="str">
        <f>IF(OR(N194&lt;EDA!$H$1,N194&gt;EDA!$H$2),"Outlier","Normal")</f>
        <v>Normal</v>
      </c>
    </row>
    <row r="195" spans="1:16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5">
        <v>46.66</v>
      </c>
      <c r="O195" t="str">
        <f t="shared" ref="O195:O258" si="3">IF(L195="","No Coupon",L195)</f>
        <v>No Coupon</v>
      </c>
      <c r="P195" t="str">
        <f>IF(OR(N195&lt;EDA!$H$1,N195&gt;EDA!$H$2),"Outlier","Normal")</f>
        <v>Normal</v>
      </c>
    </row>
    <row r="196" spans="1:16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  <c r="O196" t="str">
        <f t="shared" si="3"/>
        <v>FREESHIP</v>
      </c>
      <c r="P196" t="str">
        <f>IF(OR(N196&lt;EDA!$H$1,N196&gt;EDA!$H$2),"Outlier","Normal")</f>
        <v>Normal</v>
      </c>
    </row>
    <row r="197" spans="1:16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5">
        <v>1857.63</v>
      </c>
      <c r="O197" t="str">
        <f t="shared" si="3"/>
        <v>No Coupon</v>
      </c>
      <c r="P197" t="str">
        <f>IF(OR(N197&lt;EDA!$H$1,N197&gt;EDA!$H$2),"Outlier","Normal")</f>
        <v>Normal</v>
      </c>
    </row>
    <row r="198" spans="1:16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  <c r="O198" t="str">
        <f t="shared" si="3"/>
        <v>WINTER15</v>
      </c>
      <c r="P198" t="str">
        <f>IF(OR(N198&lt;EDA!$H$1,N198&gt;EDA!$H$2),"Outlier","Normal")</f>
        <v>Normal</v>
      </c>
    </row>
    <row r="199" spans="1:16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  <c r="O199" t="str">
        <f t="shared" si="3"/>
        <v>WINTER15</v>
      </c>
      <c r="P199" t="str">
        <f>IF(OR(N199&lt;EDA!$H$1,N199&gt;EDA!$H$2),"Outlier","Normal")</f>
        <v>Normal</v>
      </c>
    </row>
    <row r="200" spans="1:16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  <c r="O200" t="str">
        <f t="shared" si="3"/>
        <v>SAVE10</v>
      </c>
      <c r="P200" t="str">
        <f>IF(OR(N200&lt;EDA!$H$1,N200&gt;EDA!$H$2),"Outlier","Normal")</f>
        <v>Normal</v>
      </c>
    </row>
    <row r="201" spans="1:16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  <c r="O201" t="str">
        <f t="shared" si="3"/>
        <v>WINTER15</v>
      </c>
      <c r="P201" t="str">
        <f>IF(OR(N201&lt;EDA!$H$1,N201&gt;EDA!$H$2),"Outlier","Normal")</f>
        <v>Normal</v>
      </c>
    </row>
    <row r="202" spans="1:16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  <c r="O202" t="str">
        <f t="shared" si="3"/>
        <v>SAVE10</v>
      </c>
      <c r="P202" t="str">
        <f>IF(OR(N202&lt;EDA!$H$1,N202&gt;EDA!$H$2),"Outlier","Normal")</f>
        <v>Normal</v>
      </c>
    </row>
    <row r="203" spans="1:16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  <c r="O203" t="str">
        <f t="shared" si="3"/>
        <v>SAVE10</v>
      </c>
      <c r="P203" t="str">
        <f>IF(OR(N203&lt;EDA!$H$1,N203&gt;EDA!$H$2),"Outlier","Normal")</f>
        <v>Normal</v>
      </c>
    </row>
    <row r="204" spans="1:16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  <c r="O204" t="str">
        <f t="shared" si="3"/>
        <v>FREESHIP</v>
      </c>
      <c r="P204" t="str">
        <f>IF(OR(N204&lt;EDA!$H$1,N204&gt;EDA!$H$2),"Outlier","Normal")</f>
        <v>Normal</v>
      </c>
    </row>
    <row r="205" spans="1:16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  <c r="O205" t="str">
        <f t="shared" si="3"/>
        <v>SAVE10</v>
      </c>
      <c r="P205" t="str">
        <f>IF(OR(N205&lt;EDA!$H$1,N205&gt;EDA!$H$2),"Outlier","Normal")</f>
        <v>Normal</v>
      </c>
    </row>
    <row r="206" spans="1:16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  <c r="O206" t="str">
        <f t="shared" si="3"/>
        <v>FREESHIP</v>
      </c>
      <c r="P206" t="str">
        <f>IF(OR(N206&lt;EDA!$H$1,N206&gt;EDA!$H$2),"Outlier","Normal")</f>
        <v>Normal</v>
      </c>
    </row>
    <row r="207" spans="1:16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5">
        <v>442.17</v>
      </c>
      <c r="O207" t="str">
        <f t="shared" si="3"/>
        <v>No Coupon</v>
      </c>
      <c r="P207" t="str">
        <f>IF(OR(N207&lt;EDA!$H$1,N207&gt;EDA!$H$2),"Outlier","Normal")</f>
        <v>Normal</v>
      </c>
    </row>
    <row r="208" spans="1:16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  <c r="O208" t="str">
        <f t="shared" si="3"/>
        <v>WINTER15</v>
      </c>
      <c r="P208" t="str">
        <f>IF(OR(N208&lt;EDA!$H$1,N208&gt;EDA!$H$2),"Outlier","Normal")</f>
        <v>Normal</v>
      </c>
    </row>
    <row r="209" spans="1:16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5">
        <v>121.96</v>
      </c>
      <c r="O209" t="str">
        <f t="shared" si="3"/>
        <v>No Coupon</v>
      </c>
      <c r="P209" t="str">
        <f>IF(OR(N209&lt;EDA!$H$1,N209&gt;EDA!$H$2),"Outlier","Normal")</f>
        <v>Normal</v>
      </c>
    </row>
    <row r="210" spans="1:16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  <c r="O210" t="str">
        <f t="shared" si="3"/>
        <v>FREESHIP</v>
      </c>
      <c r="P210" t="str">
        <f>IF(OR(N210&lt;EDA!$H$1,N210&gt;EDA!$H$2),"Outlier","Normal")</f>
        <v>Normal</v>
      </c>
    </row>
    <row r="211" spans="1:16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  <c r="O211" t="str">
        <f t="shared" si="3"/>
        <v>SAVE10</v>
      </c>
      <c r="P211" t="str">
        <f>IF(OR(N211&lt;EDA!$H$1,N211&gt;EDA!$H$2),"Outlier","Normal")</f>
        <v>Normal</v>
      </c>
    </row>
    <row r="212" spans="1:16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  <c r="O212" t="str">
        <f t="shared" si="3"/>
        <v>FREESHIP</v>
      </c>
      <c r="P212" t="str">
        <f>IF(OR(N212&lt;EDA!$H$1,N212&gt;EDA!$H$2),"Outlier","Normal")</f>
        <v>Normal</v>
      </c>
    </row>
    <row r="213" spans="1:16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  <c r="O213" t="str">
        <f t="shared" si="3"/>
        <v>FREESHIP</v>
      </c>
      <c r="P213" t="str">
        <f>IF(OR(N213&lt;EDA!$H$1,N213&gt;EDA!$H$2),"Outlier","Normal")</f>
        <v>Normal</v>
      </c>
    </row>
    <row r="214" spans="1:16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  <c r="O214" t="str">
        <f t="shared" si="3"/>
        <v>WINTER15</v>
      </c>
      <c r="P214" t="str">
        <f>IF(OR(N214&lt;EDA!$H$1,N214&gt;EDA!$H$2),"Outlier","Normal")</f>
        <v>Normal</v>
      </c>
    </row>
    <row r="215" spans="1:16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  <c r="O215" t="str">
        <f t="shared" si="3"/>
        <v>SAVE10</v>
      </c>
      <c r="P215" t="str">
        <f>IF(OR(N215&lt;EDA!$H$1,N215&gt;EDA!$H$2),"Outlier","Normal")</f>
        <v>Normal</v>
      </c>
    </row>
    <row r="216" spans="1:16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5">
        <v>1222.8800000000001</v>
      </c>
      <c r="O216" t="str">
        <f t="shared" si="3"/>
        <v>No Coupon</v>
      </c>
      <c r="P216" t="str">
        <f>IF(OR(N216&lt;EDA!$H$1,N216&gt;EDA!$H$2),"Outlier","Normal")</f>
        <v>Normal</v>
      </c>
    </row>
    <row r="217" spans="1:16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  <c r="O217" t="str">
        <f t="shared" si="3"/>
        <v>FREESHIP</v>
      </c>
      <c r="P217" t="str">
        <f>IF(OR(N217&lt;EDA!$H$1,N217&gt;EDA!$H$2),"Outlier","Normal")</f>
        <v>Normal</v>
      </c>
    </row>
    <row r="218" spans="1:16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  <c r="O218" t="str">
        <f t="shared" si="3"/>
        <v>WINTER15</v>
      </c>
      <c r="P218" t="str">
        <f>IF(OR(N218&lt;EDA!$H$1,N218&gt;EDA!$H$2),"Outlier","Normal")</f>
        <v>Normal</v>
      </c>
    </row>
    <row r="219" spans="1:16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5">
        <v>1286.04</v>
      </c>
      <c r="O219" t="str">
        <f t="shared" si="3"/>
        <v>No Coupon</v>
      </c>
      <c r="P219" t="str">
        <f>IF(OR(N219&lt;EDA!$H$1,N219&gt;EDA!$H$2),"Outlier","Normal")</f>
        <v>Normal</v>
      </c>
    </row>
    <row r="220" spans="1:16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  <c r="O220" t="str">
        <f t="shared" si="3"/>
        <v>SAVE10</v>
      </c>
      <c r="P220" t="str">
        <f>IF(OR(N220&lt;EDA!$H$1,N220&gt;EDA!$H$2),"Outlier","Normal")</f>
        <v>Normal</v>
      </c>
    </row>
    <row r="221" spans="1:16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  <c r="O221" t="str">
        <f t="shared" si="3"/>
        <v>SAVE10</v>
      </c>
      <c r="P221" t="str">
        <f>IF(OR(N221&lt;EDA!$H$1,N221&gt;EDA!$H$2),"Outlier","Normal")</f>
        <v>Normal</v>
      </c>
    </row>
    <row r="222" spans="1:16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  <c r="O222" t="str">
        <f t="shared" si="3"/>
        <v>SAVE10</v>
      </c>
      <c r="P222" t="str">
        <f>IF(OR(N222&lt;EDA!$H$1,N222&gt;EDA!$H$2),"Outlier","Normal")</f>
        <v>Normal</v>
      </c>
    </row>
    <row r="223" spans="1:16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  <c r="O223" t="str">
        <f t="shared" si="3"/>
        <v>SAVE10</v>
      </c>
      <c r="P223" t="str">
        <f>IF(OR(N223&lt;EDA!$H$1,N223&gt;EDA!$H$2),"Outlier","Normal")</f>
        <v>Normal</v>
      </c>
    </row>
    <row r="224" spans="1:16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5">
        <v>2773.44</v>
      </c>
      <c r="O224" t="str">
        <f t="shared" si="3"/>
        <v>No Coupon</v>
      </c>
      <c r="P224" t="str">
        <f>IF(OR(N224&lt;EDA!$H$1,N224&gt;EDA!$H$2),"Outlier","Normal")</f>
        <v>Normal</v>
      </c>
    </row>
    <row r="225" spans="1:16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  <c r="O225" t="str">
        <f t="shared" si="3"/>
        <v>SAVE10</v>
      </c>
      <c r="P225" t="str">
        <f>IF(OR(N225&lt;EDA!$H$1,N225&gt;EDA!$H$2),"Outlier","Normal")</f>
        <v>Normal</v>
      </c>
    </row>
    <row r="226" spans="1:16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  <c r="O226" t="str">
        <f t="shared" si="3"/>
        <v>SAVE10</v>
      </c>
      <c r="P226" t="str">
        <f>IF(OR(N226&lt;EDA!$H$1,N226&gt;EDA!$H$2),"Outlier","Normal")</f>
        <v>Normal</v>
      </c>
    </row>
    <row r="227" spans="1:16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  <c r="O227" t="str">
        <f t="shared" si="3"/>
        <v>SAVE10</v>
      </c>
      <c r="P227" t="str">
        <f>IF(OR(N227&lt;EDA!$H$1,N227&gt;EDA!$H$2),"Outlier","Normal")</f>
        <v>Normal</v>
      </c>
    </row>
    <row r="228" spans="1:16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5">
        <v>1764.15</v>
      </c>
      <c r="O228" t="str">
        <f t="shared" si="3"/>
        <v>No Coupon</v>
      </c>
      <c r="P228" t="str">
        <f>IF(OR(N228&lt;EDA!$H$1,N228&gt;EDA!$H$2),"Outlier","Normal")</f>
        <v>Normal</v>
      </c>
    </row>
    <row r="229" spans="1:16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  <c r="O229" t="str">
        <f t="shared" si="3"/>
        <v>FREESHIP</v>
      </c>
      <c r="P229" t="str">
        <f>IF(OR(N229&lt;EDA!$H$1,N229&gt;EDA!$H$2),"Outlier","Normal")</f>
        <v>Normal</v>
      </c>
    </row>
    <row r="230" spans="1:16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5">
        <v>1543.68</v>
      </c>
      <c r="O230" t="str">
        <f t="shared" si="3"/>
        <v>No Coupon</v>
      </c>
      <c r="P230" t="str">
        <f>IF(OR(N230&lt;EDA!$H$1,N230&gt;EDA!$H$2),"Outlier","Normal")</f>
        <v>Normal</v>
      </c>
    </row>
    <row r="231" spans="1:16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  <c r="O231" t="str">
        <f t="shared" si="3"/>
        <v>WINTER15</v>
      </c>
      <c r="P231" t="str">
        <f>IF(OR(N231&lt;EDA!$H$1,N231&gt;EDA!$H$2),"Outlier","Normal")</f>
        <v>Normal</v>
      </c>
    </row>
    <row r="232" spans="1:16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  <c r="O232" t="str">
        <f t="shared" si="3"/>
        <v>WINTER15</v>
      </c>
      <c r="P232" t="str">
        <f>IF(OR(N232&lt;EDA!$H$1,N232&gt;EDA!$H$2),"Outlier","Normal")</f>
        <v>Normal</v>
      </c>
    </row>
    <row r="233" spans="1:16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  <c r="O233" t="str">
        <f t="shared" si="3"/>
        <v>FREESHIP</v>
      </c>
      <c r="P233" t="str">
        <f>IF(OR(N233&lt;EDA!$H$1,N233&gt;EDA!$H$2),"Outlier","Normal")</f>
        <v>Normal</v>
      </c>
    </row>
    <row r="234" spans="1:16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  <c r="O234" t="str">
        <f t="shared" si="3"/>
        <v>WINTER15</v>
      </c>
      <c r="P234" t="str">
        <f>IF(OR(N234&lt;EDA!$H$1,N234&gt;EDA!$H$2),"Outlier","Normal")</f>
        <v>Normal</v>
      </c>
    </row>
    <row r="235" spans="1:16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  <c r="O235" t="str">
        <f t="shared" si="3"/>
        <v>WINTER15</v>
      </c>
      <c r="P235" t="str">
        <f>IF(OR(N235&lt;EDA!$H$1,N235&gt;EDA!$H$2),"Outlier","Normal")</f>
        <v>Normal</v>
      </c>
    </row>
    <row r="236" spans="1:16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  <c r="O236" t="str">
        <f t="shared" si="3"/>
        <v>SAVE10</v>
      </c>
      <c r="P236" t="str">
        <f>IF(OR(N236&lt;EDA!$H$1,N236&gt;EDA!$H$2),"Outlier","Normal")</f>
        <v>Normal</v>
      </c>
    </row>
    <row r="237" spans="1:16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  <c r="O237" t="str">
        <f t="shared" si="3"/>
        <v>WINTER15</v>
      </c>
      <c r="P237" t="str">
        <f>IF(OR(N237&lt;EDA!$H$1,N237&gt;EDA!$H$2),"Outlier","Normal")</f>
        <v>Normal</v>
      </c>
    </row>
    <row r="238" spans="1:16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  <c r="O238" t="str">
        <f t="shared" si="3"/>
        <v>WINTER15</v>
      </c>
      <c r="P238" t="str">
        <f>IF(OR(N238&lt;EDA!$H$1,N238&gt;EDA!$H$2),"Outlier","Normal")</f>
        <v>Normal</v>
      </c>
    </row>
    <row r="239" spans="1:16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  <c r="O239" t="str">
        <f t="shared" si="3"/>
        <v>FREESHIP</v>
      </c>
      <c r="P239" t="str">
        <f>IF(OR(N239&lt;EDA!$H$1,N239&gt;EDA!$H$2),"Outlier","Normal")</f>
        <v>Normal</v>
      </c>
    </row>
    <row r="240" spans="1:16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  <c r="O240" t="str">
        <f t="shared" si="3"/>
        <v>WINTER15</v>
      </c>
      <c r="P240" t="str">
        <f>IF(OR(N240&lt;EDA!$H$1,N240&gt;EDA!$H$2),"Outlier","Normal")</f>
        <v>Normal</v>
      </c>
    </row>
    <row r="241" spans="1:16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  <c r="O241" t="str">
        <f t="shared" si="3"/>
        <v>FREESHIP</v>
      </c>
      <c r="P241" t="str">
        <f>IF(OR(N241&lt;EDA!$H$1,N241&gt;EDA!$H$2),"Outlier","Normal")</f>
        <v>Normal</v>
      </c>
    </row>
    <row r="242" spans="1:16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  <c r="O242" t="str">
        <f t="shared" si="3"/>
        <v>FREESHIP</v>
      </c>
      <c r="P242" t="str">
        <f>IF(OR(N242&lt;EDA!$H$1,N242&gt;EDA!$H$2),"Outlier","Normal")</f>
        <v>Normal</v>
      </c>
    </row>
    <row r="243" spans="1:16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  <c r="O243" t="str">
        <f t="shared" si="3"/>
        <v>SAVE10</v>
      </c>
      <c r="P243" t="str">
        <f>IF(OR(N243&lt;EDA!$H$1,N243&gt;EDA!$H$2),"Outlier","Normal")</f>
        <v>Normal</v>
      </c>
    </row>
    <row r="244" spans="1:16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  <c r="O244" t="str">
        <f t="shared" si="3"/>
        <v>SAVE10</v>
      </c>
      <c r="P244" t="str">
        <f>IF(OR(N244&lt;EDA!$H$1,N244&gt;EDA!$H$2),"Outlier","Normal")</f>
        <v>Normal</v>
      </c>
    </row>
    <row r="245" spans="1:16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  <c r="O245" t="str">
        <f t="shared" si="3"/>
        <v>FREESHIP</v>
      </c>
      <c r="P245" t="str">
        <f>IF(OR(N245&lt;EDA!$H$1,N245&gt;EDA!$H$2),"Outlier","Normal")</f>
        <v>Normal</v>
      </c>
    </row>
    <row r="246" spans="1:16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  <c r="O246" t="str">
        <f t="shared" si="3"/>
        <v>WINTER15</v>
      </c>
      <c r="P246" t="str">
        <f>IF(OR(N246&lt;EDA!$H$1,N246&gt;EDA!$H$2),"Outlier","Normal")</f>
        <v>Normal</v>
      </c>
    </row>
    <row r="247" spans="1:16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5">
        <v>223.3</v>
      </c>
      <c r="O247" t="str">
        <f t="shared" si="3"/>
        <v>No Coupon</v>
      </c>
      <c r="P247" t="str">
        <f>IF(OR(N247&lt;EDA!$H$1,N247&gt;EDA!$H$2),"Outlier","Normal")</f>
        <v>Normal</v>
      </c>
    </row>
    <row r="248" spans="1:16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  <c r="O248" t="str">
        <f t="shared" si="3"/>
        <v>WINTER15</v>
      </c>
      <c r="P248" t="str">
        <f>IF(OR(N248&lt;EDA!$H$1,N248&gt;EDA!$H$2),"Outlier","Normal")</f>
        <v>Normal</v>
      </c>
    </row>
    <row r="249" spans="1:16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5">
        <v>441.8</v>
      </c>
      <c r="O249" t="str">
        <f t="shared" si="3"/>
        <v>No Coupon</v>
      </c>
      <c r="P249" t="str">
        <f>IF(OR(N249&lt;EDA!$H$1,N249&gt;EDA!$H$2),"Outlier","Normal")</f>
        <v>Normal</v>
      </c>
    </row>
    <row r="250" spans="1:16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  <c r="O250" t="str">
        <f t="shared" si="3"/>
        <v>FREESHIP</v>
      </c>
      <c r="P250" t="str">
        <f>IF(OR(N250&lt;EDA!$H$1,N250&gt;EDA!$H$2),"Outlier","Normal")</f>
        <v>Normal</v>
      </c>
    </row>
    <row r="251" spans="1:16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  <c r="O251" t="str">
        <f t="shared" si="3"/>
        <v>FREESHIP</v>
      </c>
      <c r="P251" t="str">
        <f>IF(OR(N251&lt;EDA!$H$1,N251&gt;EDA!$H$2),"Outlier","Normal")</f>
        <v>Normal</v>
      </c>
    </row>
    <row r="252" spans="1:16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  <c r="O252" t="str">
        <f t="shared" si="3"/>
        <v>SAVE10</v>
      </c>
      <c r="P252" t="str">
        <f>IF(OR(N252&lt;EDA!$H$1,N252&gt;EDA!$H$2),"Outlier","Normal")</f>
        <v>Normal</v>
      </c>
    </row>
    <row r="253" spans="1:16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5">
        <v>58.76</v>
      </c>
      <c r="O253" t="str">
        <f t="shared" si="3"/>
        <v>No Coupon</v>
      </c>
      <c r="P253" t="str">
        <f>IF(OR(N253&lt;EDA!$H$1,N253&gt;EDA!$H$2),"Outlier","Normal")</f>
        <v>Normal</v>
      </c>
    </row>
    <row r="254" spans="1:16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  <c r="O254" t="str">
        <f t="shared" si="3"/>
        <v>FREESHIP</v>
      </c>
      <c r="P254" t="str">
        <f>IF(OR(N254&lt;EDA!$H$1,N254&gt;EDA!$H$2),"Outlier","Normal")</f>
        <v>Normal</v>
      </c>
    </row>
    <row r="255" spans="1:16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  <c r="O255" t="str">
        <f t="shared" si="3"/>
        <v>FREESHIP</v>
      </c>
      <c r="P255" t="str">
        <f>IF(OR(N255&lt;EDA!$H$1,N255&gt;EDA!$H$2),"Outlier","Normal")</f>
        <v>Normal</v>
      </c>
    </row>
    <row r="256" spans="1:16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5">
        <v>789.56999999999994</v>
      </c>
      <c r="O256" t="str">
        <f t="shared" si="3"/>
        <v>No Coupon</v>
      </c>
      <c r="P256" t="str">
        <f>IF(OR(N256&lt;EDA!$H$1,N256&gt;EDA!$H$2),"Outlier","Normal")</f>
        <v>Normal</v>
      </c>
    </row>
    <row r="257" spans="1:16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  <c r="O257" t="str">
        <f t="shared" si="3"/>
        <v>SAVE10</v>
      </c>
      <c r="P257" t="str">
        <f>IF(OR(N257&lt;EDA!$H$1,N257&gt;EDA!$H$2),"Outlier","Normal")</f>
        <v>Normal</v>
      </c>
    </row>
    <row r="258" spans="1:16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  <c r="O258" t="str">
        <f t="shared" si="3"/>
        <v>WINTER15</v>
      </c>
      <c r="P258" t="str">
        <f>IF(OR(N258&lt;EDA!$H$1,N258&gt;EDA!$H$2),"Outlier","Normal")</f>
        <v>Normal</v>
      </c>
    </row>
    <row r="259" spans="1:16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  <c r="O259" t="str">
        <f t="shared" ref="O259:O322" si="4">IF(L259="","No Coupon",L259)</f>
        <v>SAVE10</v>
      </c>
      <c r="P259" t="str">
        <f>IF(OR(N259&lt;EDA!$H$1,N259&gt;EDA!$H$2),"Outlier","Normal")</f>
        <v>Normal</v>
      </c>
    </row>
    <row r="260" spans="1:16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  <c r="O260" t="str">
        <f t="shared" si="4"/>
        <v>FREESHIP</v>
      </c>
      <c r="P260" t="str">
        <f>IF(OR(N260&lt;EDA!$H$1,N260&gt;EDA!$H$2),"Outlier","Normal")</f>
        <v>Normal</v>
      </c>
    </row>
    <row r="261" spans="1:16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  <c r="O261" t="str">
        <f t="shared" si="4"/>
        <v>SAVE10</v>
      </c>
      <c r="P261" t="str">
        <f>IF(OR(N261&lt;EDA!$H$1,N261&gt;EDA!$H$2),"Outlier","Normal")</f>
        <v>Normal</v>
      </c>
    </row>
    <row r="262" spans="1:16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5">
        <v>815.58</v>
      </c>
      <c r="O262" t="str">
        <f t="shared" si="4"/>
        <v>No Coupon</v>
      </c>
      <c r="P262" t="str">
        <f>IF(OR(N262&lt;EDA!$H$1,N262&gt;EDA!$H$2),"Outlier","Normal")</f>
        <v>Normal</v>
      </c>
    </row>
    <row r="263" spans="1:16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  <c r="O263" t="str">
        <f t="shared" si="4"/>
        <v>SAVE10</v>
      </c>
      <c r="P263" t="str">
        <f>IF(OR(N263&lt;EDA!$H$1,N263&gt;EDA!$H$2),"Outlier","Normal")</f>
        <v>Normal</v>
      </c>
    </row>
    <row r="264" spans="1:16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  <c r="O264" t="str">
        <f t="shared" si="4"/>
        <v>WINTER15</v>
      </c>
      <c r="P264" t="str">
        <f>IF(OR(N264&lt;EDA!$H$1,N264&gt;EDA!$H$2),"Outlier","Normal")</f>
        <v>Normal</v>
      </c>
    </row>
    <row r="265" spans="1:16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  <c r="O265" t="str">
        <f t="shared" si="4"/>
        <v>WINTER15</v>
      </c>
      <c r="P265" t="str">
        <f>IF(OR(N265&lt;EDA!$H$1,N265&gt;EDA!$H$2),"Outlier","Normal")</f>
        <v>Normal</v>
      </c>
    </row>
    <row r="266" spans="1:16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  <c r="O266" t="str">
        <f t="shared" si="4"/>
        <v>FREESHIP</v>
      </c>
      <c r="P266" t="str">
        <f>IF(OR(N266&lt;EDA!$H$1,N266&gt;EDA!$H$2),"Outlier","Normal")</f>
        <v>Normal</v>
      </c>
    </row>
    <row r="267" spans="1:16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  <c r="O267" t="str">
        <f t="shared" si="4"/>
        <v>SAVE10</v>
      </c>
      <c r="P267" t="str">
        <f>IF(OR(N267&lt;EDA!$H$1,N267&gt;EDA!$H$2),"Outlier","Normal")</f>
        <v>Normal</v>
      </c>
    </row>
    <row r="268" spans="1:16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  <c r="O268" t="str">
        <f t="shared" si="4"/>
        <v>FREESHIP</v>
      </c>
      <c r="P268" t="str">
        <f>IF(OR(N268&lt;EDA!$H$1,N268&gt;EDA!$H$2),"Outlier","Normal")</f>
        <v>Normal</v>
      </c>
    </row>
    <row r="269" spans="1:16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5">
        <v>2342.5500000000002</v>
      </c>
      <c r="O269" t="str">
        <f t="shared" si="4"/>
        <v>No Coupon</v>
      </c>
      <c r="P269" t="str">
        <f>IF(OR(N269&lt;EDA!$H$1,N269&gt;EDA!$H$2),"Outlier","Normal")</f>
        <v>Normal</v>
      </c>
    </row>
    <row r="270" spans="1:16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  <c r="O270" t="str">
        <f t="shared" si="4"/>
        <v>SAVE10</v>
      </c>
      <c r="P270" t="str">
        <f>IF(OR(N270&lt;EDA!$H$1,N270&gt;EDA!$H$2),"Outlier","Normal")</f>
        <v>Normal</v>
      </c>
    </row>
    <row r="271" spans="1:16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  <c r="O271" t="str">
        <f t="shared" si="4"/>
        <v>FREESHIP</v>
      </c>
      <c r="P271" t="str">
        <f>IF(OR(N271&lt;EDA!$H$1,N271&gt;EDA!$H$2),"Outlier","Normal")</f>
        <v>Normal</v>
      </c>
    </row>
    <row r="272" spans="1:16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  <c r="O272" t="str">
        <f t="shared" si="4"/>
        <v>WINTER15</v>
      </c>
      <c r="P272" t="str">
        <f>IF(OR(N272&lt;EDA!$H$1,N272&gt;EDA!$H$2),"Outlier","Normal")</f>
        <v>Normal</v>
      </c>
    </row>
    <row r="273" spans="1:16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  <c r="O273" t="str">
        <f t="shared" si="4"/>
        <v>WINTER15</v>
      </c>
      <c r="P273" t="str">
        <f>IF(OR(N273&lt;EDA!$H$1,N273&gt;EDA!$H$2),"Outlier","Normal")</f>
        <v>Normal</v>
      </c>
    </row>
    <row r="274" spans="1:16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  <c r="O274" t="str">
        <f t="shared" si="4"/>
        <v>WINTER15</v>
      </c>
      <c r="P274" t="str">
        <f>IF(OR(N274&lt;EDA!$H$1,N274&gt;EDA!$H$2),"Outlier","Normal")</f>
        <v>Normal</v>
      </c>
    </row>
    <row r="275" spans="1:16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  <c r="O275" t="str">
        <f t="shared" si="4"/>
        <v>FREESHIP</v>
      </c>
      <c r="P275" t="str">
        <f>IF(OR(N275&lt;EDA!$H$1,N275&gt;EDA!$H$2),"Outlier","Normal")</f>
        <v>Normal</v>
      </c>
    </row>
    <row r="276" spans="1:16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  <c r="O276" t="str">
        <f t="shared" si="4"/>
        <v>SAVE10</v>
      </c>
      <c r="P276" t="str">
        <f>IF(OR(N276&lt;EDA!$H$1,N276&gt;EDA!$H$2),"Outlier","Normal")</f>
        <v>Normal</v>
      </c>
    </row>
    <row r="277" spans="1:16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  <c r="O277" t="str">
        <f t="shared" si="4"/>
        <v>SAVE10</v>
      </c>
      <c r="P277" t="str">
        <f>IF(OR(N277&lt;EDA!$H$1,N277&gt;EDA!$H$2),"Outlier","Normal")</f>
        <v>Normal</v>
      </c>
    </row>
    <row r="278" spans="1:16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  <c r="O278" t="str">
        <f t="shared" si="4"/>
        <v>WINTER15</v>
      </c>
      <c r="P278" t="str">
        <f>IF(OR(N278&lt;EDA!$H$1,N278&gt;EDA!$H$2),"Outlier","Normal")</f>
        <v>Normal</v>
      </c>
    </row>
    <row r="279" spans="1:16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  <c r="O279" t="str">
        <f t="shared" si="4"/>
        <v>SAVE10</v>
      </c>
      <c r="P279" t="str">
        <f>IF(OR(N279&lt;EDA!$H$1,N279&gt;EDA!$H$2),"Outlier","Normal")</f>
        <v>Normal</v>
      </c>
    </row>
    <row r="280" spans="1:16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  <c r="O280" t="str">
        <f t="shared" si="4"/>
        <v>FREESHIP</v>
      </c>
      <c r="P280" t="str">
        <f>IF(OR(N280&lt;EDA!$H$1,N280&gt;EDA!$H$2),"Outlier","Normal")</f>
        <v>Normal</v>
      </c>
    </row>
    <row r="281" spans="1:16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  <c r="O281" t="str">
        <f t="shared" si="4"/>
        <v>WINTER15</v>
      </c>
      <c r="P281" t="str">
        <f>IF(OR(N281&lt;EDA!$H$1,N281&gt;EDA!$H$2),"Outlier","Normal")</f>
        <v>Normal</v>
      </c>
    </row>
    <row r="282" spans="1:16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  <c r="O282" t="str">
        <f t="shared" si="4"/>
        <v>FREESHIP</v>
      </c>
      <c r="P282" t="str">
        <f>IF(OR(N282&lt;EDA!$H$1,N282&gt;EDA!$H$2),"Outlier","Normal")</f>
        <v>Normal</v>
      </c>
    </row>
    <row r="283" spans="1:16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5">
        <v>2619.16</v>
      </c>
      <c r="O283" t="str">
        <f t="shared" si="4"/>
        <v>No Coupon</v>
      </c>
      <c r="P283" t="str">
        <f>IF(OR(N283&lt;EDA!$H$1,N283&gt;EDA!$H$2),"Outlier","Normal")</f>
        <v>Normal</v>
      </c>
    </row>
    <row r="284" spans="1:16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  <c r="O284" t="str">
        <f t="shared" si="4"/>
        <v>FREESHIP</v>
      </c>
      <c r="P284" t="str">
        <f>IF(OR(N284&lt;EDA!$H$1,N284&gt;EDA!$H$2),"Outlier","Normal")</f>
        <v>Normal</v>
      </c>
    </row>
    <row r="285" spans="1:16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5">
        <v>2161.3200000000002</v>
      </c>
      <c r="O285" t="str">
        <f t="shared" si="4"/>
        <v>No Coupon</v>
      </c>
      <c r="P285" t="str">
        <f>IF(OR(N285&lt;EDA!$H$1,N285&gt;EDA!$H$2),"Outlier","Normal")</f>
        <v>Normal</v>
      </c>
    </row>
    <row r="286" spans="1:16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  <c r="O286" t="str">
        <f t="shared" si="4"/>
        <v>SAVE10</v>
      </c>
      <c r="P286" t="str">
        <f>IF(OR(N286&lt;EDA!$H$1,N286&gt;EDA!$H$2),"Outlier","Normal")</f>
        <v>Normal</v>
      </c>
    </row>
    <row r="287" spans="1:16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5">
        <v>338.31</v>
      </c>
      <c r="O287" t="str">
        <f t="shared" si="4"/>
        <v>No Coupon</v>
      </c>
      <c r="P287" t="str">
        <f>IF(OR(N287&lt;EDA!$H$1,N287&gt;EDA!$H$2),"Outlier","Normal")</f>
        <v>Normal</v>
      </c>
    </row>
    <row r="288" spans="1:16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  <c r="O288" t="str">
        <f t="shared" si="4"/>
        <v>WINTER15</v>
      </c>
      <c r="P288" t="str">
        <f>IF(OR(N288&lt;EDA!$H$1,N288&gt;EDA!$H$2),"Outlier","Normal")</f>
        <v>Normal</v>
      </c>
    </row>
    <row r="289" spans="1:16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5">
        <v>2620.7199999999998</v>
      </c>
      <c r="O289" t="str">
        <f t="shared" si="4"/>
        <v>No Coupon</v>
      </c>
      <c r="P289" t="str">
        <f>IF(OR(N289&lt;EDA!$H$1,N289&gt;EDA!$H$2),"Outlier","Normal")</f>
        <v>Normal</v>
      </c>
    </row>
    <row r="290" spans="1:16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  <c r="O290" t="str">
        <f t="shared" si="4"/>
        <v>WINTER15</v>
      </c>
      <c r="P290" t="str">
        <f>IF(OR(N290&lt;EDA!$H$1,N290&gt;EDA!$H$2),"Outlier","Normal")</f>
        <v>Normal</v>
      </c>
    </row>
    <row r="291" spans="1:16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  <c r="O291" t="str">
        <f t="shared" si="4"/>
        <v>WINTER15</v>
      </c>
      <c r="P291" t="str">
        <f>IF(OR(N291&lt;EDA!$H$1,N291&gt;EDA!$H$2),"Outlier","Normal")</f>
        <v>Normal</v>
      </c>
    </row>
    <row r="292" spans="1:16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  <c r="O292" t="str">
        <f t="shared" si="4"/>
        <v>FREESHIP</v>
      </c>
      <c r="P292" t="str">
        <f>IF(OR(N292&lt;EDA!$H$1,N292&gt;EDA!$H$2),"Outlier","Normal")</f>
        <v>Normal</v>
      </c>
    </row>
    <row r="293" spans="1:16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  <c r="O293" t="str">
        <f t="shared" si="4"/>
        <v>FREESHIP</v>
      </c>
      <c r="P293" t="str">
        <f>IF(OR(N293&lt;EDA!$H$1,N293&gt;EDA!$H$2),"Outlier","Normal")</f>
        <v>Normal</v>
      </c>
    </row>
    <row r="294" spans="1:16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5">
        <v>65.95</v>
      </c>
      <c r="O294" t="str">
        <f t="shared" si="4"/>
        <v>No Coupon</v>
      </c>
      <c r="P294" t="str">
        <f>IF(OR(N294&lt;EDA!$H$1,N294&gt;EDA!$H$2),"Outlier","Normal")</f>
        <v>Normal</v>
      </c>
    </row>
    <row r="295" spans="1:16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5">
        <v>1852.16</v>
      </c>
      <c r="O295" t="str">
        <f t="shared" si="4"/>
        <v>No Coupon</v>
      </c>
      <c r="P295" t="str">
        <f>IF(OR(N295&lt;EDA!$H$1,N295&gt;EDA!$H$2),"Outlier","Normal")</f>
        <v>Normal</v>
      </c>
    </row>
    <row r="296" spans="1:16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  <c r="O296" t="str">
        <f t="shared" si="4"/>
        <v>SAVE10</v>
      </c>
      <c r="P296" t="str">
        <f>IF(OR(N296&lt;EDA!$H$1,N296&gt;EDA!$H$2),"Outlier","Normal")</f>
        <v>Normal</v>
      </c>
    </row>
    <row r="297" spans="1:16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  <c r="O297" t="str">
        <f t="shared" si="4"/>
        <v>FREESHIP</v>
      </c>
      <c r="P297" t="str">
        <f>IF(OR(N297&lt;EDA!$H$1,N297&gt;EDA!$H$2),"Outlier","Normal")</f>
        <v>Normal</v>
      </c>
    </row>
    <row r="298" spans="1:16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  <c r="O298" t="str">
        <f t="shared" si="4"/>
        <v>WINTER15</v>
      </c>
      <c r="P298" t="str">
        <f>IF(OR(N298&lt;EDA!$H$1,N298&gt;EDA!$H$2),"Outlier","Normal")</f>
        <v>Normal</v>
      </c>
    </row>
    <row r="299" spans="1:16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  <c r="O299" t="str">
        <f t="shared" si="4"/>
        <v>SAVE10</v>
      </c>
      <c r="P299" t="str">
        <f>IF(OR(N299&lt;EDA!$H$1,N299&gt;EDA!$H$2),"Outlier","Normal")</f>
        <v>Normal</v>
      </c>
    </row>
    <row r="300" spans="1:16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5">
        <v>1204.68</v>
      </c>
      <c r="O300" t="str">
        <f t="shared" si="4"/>
        <v>No Coupon</v>
      </c>
      <c r="P300" t="str">
        <f>IF(OR(N300&lt;EDA!$H$1,N300&gt;EDA!$H$2),"Outlier","Normal")</f>
        <v>Normal</v>
      </c>
    </row>
    <row r="301" spans="1:16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  <c r="O301" t="str">
        <f t="shared" si="4"/>
        <v>FREESHIP</v>
      </c>
      <c r="P301" t="str">
        <f>IF(OR(N301&lt;EDA!$H$1,N301&gt;EDA!$H$2),"Outlier","Normal")</f>
        <v>Normal</v>
      </c>
    </row>
    <row r="302" spans="1:16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  <c r="O302" t="str">
        <f t="shared" si="4"/>
        <v>FREESHIP</v>
      </c>
      <c r="P302" t="str">
        <f>IF(OR(N302&lt;EDA!$H$1,N302&gt;EDA!$H$2),"Outlier","Normal")</f>
        <v>Normal</v>
      </c>
    </row>
    <row r="303" spans="1:16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  <c r="O303" t="str">
        <f t="shared" si="4"/>
        <v>SAVE10</v>
      </c>
      <c r="P303" t="str">
        <f>IF(OR(N303&lt;EDA!$H$1,N303&gt;EDA!$H$2),"Outlier","Normal")</f>
        <v>Normal</v>
      </c>
    </row>
    <row r="304" spans="1:16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  <c r="O304" t="str">
        <f t="shared" si="4"/>
        <v>FREESHIP</v>
      </c>
      <c r="P304" t="str">
        <f>IF(OR(N304&lt;EDA!$H$1,N304&gt;EDA!$H$2),"Outlier","Normal")</f>
        <v>Normal</v>
      </c>
    </row>
    <row r="305" spans="1:16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5">
        <v>30.54</v>
      </c>
      <c r="O305" t="str">
        <f t="shared" si="4"/>
        <v>No Coupon</v>
      </c>
      <c r="P305" t="str">
        <f>IF(OR(N305&lt;EDA!$H$1,N305&gt;EDA!$H$2),"Outlier","Normal")</f>
        <v>Normal</v>
      </c>
    </row>
    <row r="306" spans="1:16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  <c r="O306" t="str">
        <f t="shared" si="4"/>
        <v>FREESHIP</v>
      </c>
      <c r="P306" t="str">
        <f>IF(OR(N306&lt;EDA!$H$1,N306&gt;EDA!$H$2),"Outlier","Normal")</f>
        <v>Normal</v>
      </c>
    </row>
    <row r="307" spans="1:16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  <c r="O307" t="str">
        <f t="shared" si="4"/>
        <v>FREESHIP</v>
      </c>
      <c r="P307" t="str">
        <f>IF(OR(N307&lt;EDA!$H$1,N307&gt;EDA!$H$2),"Outlier","Normal")</f>
        <v>Normal</v>
      </c>
    </row>
    <row r="308" spans="1:16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  <c r="O308" t="str">
        <f t="shared" si="4"/>
        <v>SAVE10</v>
      </c>
      <c r="P308" t="str">
        <f>IF(OR(N308&lt;EDA!$H$1,N308&gt;EDA!$H$2),"Outlier","Normal")</f>
        <v>Normal</v>
      </c>
    </row>
    <row r="309" spans="1:16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5">
        <v>1672.23</v>
      </c>
      <c r="O309" t="str">
        <f t="shared" si="4"/>
        <v>No Coupon</v>
      </c>
      <c r="P309" t="str">
        <f>IF(OR(N309&lt;EDA!$H$1,N309&gt;EDA!$H$2),"Outlier","Normal")</f>
        <v>Normal</v>
      </c>
    </row>
    <row r="310" spans="1:16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  <c r="O310" t="str">
        <f t="shared" si="4"/>
        <v>SAVE10</v>
      </c>
      <c r="P310" t="str">
        <f>IF(OR(N310&lt;EDA!$H$1,N310&gt;EDA!$H$2),"Outlier","Normal")</f>
        <v>Normal</v>
      </c>
    </row>
    <row r="311" spans="1:16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  <c r="O311" t="str">
        <f t="shared" si="4"/>
        <v>FREESHIP</v>
      </c>
      <c r="P311" t="str">
        <f>IF(OR(N311&lt;EDA!$H$1,N311&gt;EDA!$H$2),"Outlier","Normal")</f>
        <v>Normal</v>
      </c>
    </row>
    <row r="312" spans="1:16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5">
        <v>397.43999999999988</v>
      </c>
      <c r="O312" t="str">
        <f t="shared" si="4"/>
        <v>No Coupon</v>
      </c>
      <c r="P312" t="str">
        <f>IF(OR(N312&lt;EDA!$H$1,N312&gt;EDA!$H$2),"Outlier","Normal")</f>
        <v>Normal</v>
      </c>
    </row>
    <row r="313" spans="1:16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5">
        <v>2446.85</v>
      </c>
      <c r="O313" t="str">
        <f t="shared" si="4"/>
        <v>No Coupon</v>
      </c>
      <c r="P313" t="str">
        <f>IF(OR(N313&lt;EDA!$H$1,N313&gt;EDA!$H$2),"Outlier","Normal")</f>
        <v>Normal</v>
      </c>
    </row>
    <row r="314" spans="1:16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  <c r="O314" t="str">
        <f t="shared" si="4"/>
        <v>FREESHIP</v>
      </c>
      <c r="P314" t="str">
        <f>IF(OR(N314&lt;EDA!$H$1,N314&gt;EDA!$H$2),"Outlier","Normal")</f>
        <v>Normal</v>
      </c>
    </row>
    <row r="315" spans="1:16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  <c r="O315" t="str">
        <f t="shared" si="4"/>
        <v>SAVE10</v>
      </c>
      <c r="P315" t="str">
        <f>IF(OR(N315&lt;EDA!$H$1,N315&gt;EDA!$H$2),"Outlier","Normal")</f>
        <v>Normal</v>
      </c>
    </row>
    <row r="316" spans="1:16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  <c r="O316" t="str">
        <f t="shared" si="4"/>
        <v>FREESHIP</v>
      </c>
      <c r="P316" t="str">
        <f>IF(OR(N316&lt;EDA!$H$1,N316&gt;EDA!$H$2),"Outlier","Normal")</f>
        <v>Normal</v>
      </c>
    </row>
    <row r="317" spans="1:16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  <c r="O317" t="str">
        <f t="shared" si="4"/>
        <v>FREESHIP</v>
      </c>
      <c r="P317" t="str">
        <f>IF(OR(N317&lt;EDA!$H$1,N317&gt;EDA!$H$2),"Outlier","Normal")</f>
        <v>Normal</v>
      </c>
    </row>
    <row r="318" spans="1:16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  <c r="O318" t="str">
        <f t="shared" si="4"/>
        <v>WINTER15</v>
      </c>
      <c r="P318" t="str">
        <f>IF(OR(N318&lt;EDA!$H$1,N318&gt;EDA!$H$2),"Outlier","Normal")</f>
        <v>Normal</v>
      </c>
    </row>
    <row r="319" spans="1:16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5">
        <v>279.89999999999998</v>
      </c>
      <c r="O319" t="str">
        <f t="shared" si="4"/>
        <v>No Coupon</v>
      </c>
      <c r="P319" t="str">
        <f>IF(OR(N319&lt;EDA!$H$1,N319&gt;EDA!$H$2),"Outlier","Normal")</f>
        <v>Normal</v>
      </c>
    </row>
    <row r="320" spans="1:16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  <c r="O320" t="str">
        <f t="shared" si="4"/>
        <v>SAVE10</v>
      </c>
      <c r="P320" t="str">
        <f>IF(OR(N320&lt;EDA!$H$1,N320&gt;EDA!$H$2),"Outlier","Normal")</f>
        <v>Normal</v>
      </c>
    </row>
    <row r="321" spans="1:16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5">
        <v>1126.1199999999999</v>
      </c>
      <c r="O321" t="str">
        <f t="shared" si="4"/>
        <v>No Coupon</v>
      </c>
      <c r="P321" t="str">
        <f>IF(OR(N321&lt;EDA!$H$1,N321&gt;EDA!$H$2),"Outlier","Normal")</f>
        <v>Normal</v>
      </c>
    </row>
    <row r="322" spans="1:16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  <c r="O322" t="str">
        <f t="shared" si="4"/>
        <v>FREESHIP</v>
      </c>
      <c r="P322" t="str">
        <f>IF(OR(N322&lt;EDA!$H$1,N322&gt;EDA!$H$2),"Outlier","Normal")</f>
        <v>Normal</v>
      </c>
    </row>
    <row r="323" spans="1:16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  <c r="O323" t="str">
        <f t="shared" ref="O323:O386" si="5">IF(L323="","No Coupon",L323)</f>
        <v>WINTER15</v>
      </c>
      <c r="P323" t="str">
        <f>IF(OR(N323&lt;EDA!$H$1,N323&gt;EDA!$H$2),"Outlier","Normal")</f>
        <v>Normal</v>
      </c>
    </row>
    <row r="324" spans="1:16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  <c r="O324" t="str">
        <f t="shared" si="5"/>
        <v>SAVE10</v>
      </c>
      <c r="P324" t="str">
        <f>IF(OR(N324&lt;EDA!$H$1,N324&gt;EDA!$H$2),"Outlier","Normal")</f>
        <v>Normal</v>
      </c>
    </row>
    <row r="325" spans="1:16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  <c r="O325" t="str">
        <f t="shared" si="5"/>
        <v>SAVE10</v>
      </c>
      <c r="P325" t="str">
        <f>IF(OR(N325&lt;EDA!$H$1,N325&gt;EDA!$H$2),"Outlier","Normal")</f>
        <v>Normal</v>
      </c>
    </row>
    <row r="326" spans="1:16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5">
        <v>212.79</v>
      </c>
      <c r="O326" t="str">
        <f t="shared" si="5"/>
        <v>No Coupon</v>
      </c>
      <c r="P326" t="str">
        <f>IF(OR(N326&lt;EDA!$H$1,N326&gt;EDA!$H$2),"Outlier","Normal")</f>
        <v>Normal</v>
      </c>
    </row>
    <row r="327" spans="1:16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5">
        <v>1084.17</v>
      </c>
      <c r="O327" t="str">
        <f t="shared" si="5"/>
        <v>No Coupon</v>
      </c>
      <c r="P327" t="str">
        <f>IF(OR(N327&lt;EDA!$H$1,N327&gt;EDA!$H$2),"Outlier","Normal")</f>
        <v>Normal</v>
      </c>
    </row>
    <row r="328" spans="1:16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  <c r="O328" t="str">
        <f t="shared" si="5"/>
        <v>SAVE10</v>
      </c>
      <c r="P328" t="str">
        <f>IF(OR(N328&lt;EDA!$H$1,N328&gt;EDA!$H$2),"Outlier","Normal")</f>
        <v>Outlier</v>
      </c>
    </row>
    <row r="329" spans="1:16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  <c r="O329" t="str">
        <f t="shared" si="5"/>
        <v>SAVE10</v>
      </c>
      <c r="P329" t="str">
        <f>IF(OR(N329&lt;EDA!$H$1,N329&gt;EDA!$H$2),"Outlier","Normal")</f>
        <v>Normal</v>
      </c>
    </row>
    <row r="330" spans="1:16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  <c r="O330" t="str">
        <f t="shared" si="5"/>
        <v>SAVE10</v>
      </c>
      <c r="P330" t="str">
        <f>IF(OR(N330&lt;EDA!$H$1,N330&gt;EDA!$H$2),"Outlier","Normal")</f>
        <v>Outlier</v>
      </c>
    </row>
    <row r="331" spans="1:16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5">
        <v>1132.6400000000001</v>
      </c>
      <c r="O331" t="str">
        <f t="shared" si="5"/>
        <v>No Coupon</v>
      </c>
      <c r="P331" t="str">
        <f>IF(OR(N331&lt;EDA!$H$1,N331&gt;EDA!$H$2),"Outlier","Normal")</f>
        <v>Normal</v>
      </c>
    </row>
    <row r="332" spans="1:16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  <c r="O332" t="str">
        <f t="shared" si="5"/>
        <v>SAVE10</v>
      </c>
      <c r="P332" t="str">
        <f>IF(OR(N332&lt;EDA!$H$1,N332&gt;EDA!$H$2),"Outlier","Normal")</f>
        <v>Normal</v>
      </c>
    </row>
    <row r="333" spans="1:16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  <c r="O333" t="str">
        <f t="shared" si="5"/>
        <v>SAVE10</v>
      </c>
      <c r="P333" t="str">
        <f>IF(OR(N333&lt;EDA!$H$1,N333&gt;EDA!$H$2),"Outlier","Normal")</f>
        <v>Normal</v>
      </c>
    </row>
    <row r="334" spans="1:16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  <c r="O334" t="str">
        <f t="shared" si="5"/>
        <v>SAVE10</v>
      </c>
      <c r="P334" t="str">
        <f>IF(OR(N334&lt;EDA!$H$1,N334&gt;EDA!$H$2),"Outlier","Normal")</f>
        <v>Normal</v>
      </c>
    </row>
    <row r="335" spans="1:16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  <c r="O335" t="str">
        <f t="shared" si="5"/>
        <v>WINTER15</v>
      </c>
      <c r="P335" t="str">
        <f>IF(OR(N335&lt;EDA!$H$1,N335&gt;EDA!$H$2),"Outlier","Normal")</f>
        <v>Normal</v>
      </c>
    </row>
    <row r="336" spans="1:16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  <c r="O336" t="str">
        <f t="shared" si="5"/>
        <v>WINTER15</v>
      </c>
      <c r="P336" t="str">
        <f>IF(OR(N336&lt;EDA!$H$1,N336&gt;EDA!$H$2),"Outlier","Normal")</f>
        <v>Normal</v>
      </c>
    </row>
    <row r="337" spans="1:16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5">
        <v>617.58000000000004</v>
      </c>
      <c r="O337" t="str">
        <f t="shared" si="5"/>
        <v>No Coupon</v>
      </c>
      <c r="P337" t="str">
        <f>IF(OR(N337&lt;EDA!$H$1,N337&gt;EDA!$H$2),"Outlier","Normal")</f>
        <v>Normal</v>
      </c>
    </row>
    <row r="338" spans="1:16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  <c r="O338" t="str">
        <f t="shared" si="5"/>
        <v>SAVE10</v>
      </c>
      <c r="P338" t="str">
        <f>IF(OR(N338&lt;EDA!$H$1,N338&gt;EDA!$H$2),"Outlier","Normal")</f>
        <v>Normal</v>
      </c>
    </row>
    <row r="339" spans="1:16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  <c r="O339" t="str">
        <f t="shared" si="5"/>
        <v>WINTER15</v>
      </c>
      <c r="P339" t="str">
        <f>IF(OR(N339&lt;EDA!$H$1,N339&gt;EDA!$H$2),"Outlier","Normal")</f>
        <v>Normal</v>
      </c>
    </row>
    <row r="340" spans="1:16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5">
        <v>1527.45</v>
      </c>
      <c r="O340" t="str">
        <f t="shared" si="5"/>
        <v>No Coupon</v>
      </c>
      <c r="P340" t="str">
        <f>IF(OR(N340&lt;EDA!$H$1,N340&gt;EDA!$H$2),"Outlier","Normal")</f>
        <v>Normal</v>
      </c>
    </row>
    <row r="341" spans="1:16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  <c r="O341" t="str">
        <f t="shared" si="5"/>
        <v>SAVE10</v>
      </c>
      <c r="P341" t="str">
        <f>IF(OR(N341&lt;EDA!$H$1,N341&gt;EDA!$H$2),"Outlier","Normal")</f>
        <v>Normal</v>
      </c>
    </row>
    <row r="342" spans="1:16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5">
        <v>2606.25</v>
      </c>
      <c r="O342" t="str">
        <f t="shared" si="5"/>
        <v>No Coupon</v>
      </c>
      <c r="P342" t="str">
        <f>IF(OR(N342&lt;EDA!$H$1,N342&gt;EDA!$H$2),"Outlier","Normal")</f>
        <v>Normal</v>
      </c>
    </row>
    <row r="343" spans="1:16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  <c r="O343" t="str">
        <f t="shared" si="5"/>
        <v>WINTER15</v>
      </c>
      <c r="P343" t="str">
        <f>IF(OR(N343&lt;EDA!$H$1,N343&gt;EDA!$H$2),"Outlier","Normal")</f>
        <v>Normal</v>
      </c>
    </row>
    <row r="344" spans="1:16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5">
        <v>2332.1</v>
      </c>
      <c r="O344" t="str">
        <f t="shared" si="5"/>
        <v>No Coupon</v>
      </c>
      <c r="P344" t="str">
        <f>IF(OR(N344&lt;EDA!$H$1,N344&gt;EDA!$H$2),"Outlier","Normal")</f>
        <v>Normal</v>
      </c>
    </row>
    <row r="345" spans="1:16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  <c r="O345" t="str">
        <f t="shared" si="5"/>
        <v>FREESHIP</v>
      </c>
      <c r="P345" t="str">
        <f>IF(OR(N345&lt;EDA!$H$1,N345&gt;EDA!$H$2),"Outlier","Normal")</f>
        <v>Normal</v>
      </c>
    </row>
    <row r="346" spans="1:16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  <c r="O346" t="str">
        <f t="shared" si="5"/>
        <v>SAVE10</v>
      </c>
      <c r="P346" t="str">
        <f>IF(OR(N346&lt;EDA!$H$1,N346&gt;EDA!$H$2),"Outlier","Normal")</f>
        <v>Normal</v>
      </c>
    </row>
    <row r="347" spans="1:16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  <c r="O347" t="str">
        <f t="shared" si="5"/>
        <v>FREESHIP</v>
      </c>
      <c r="P347" t="str">
        <f>IF(OR(N347&lt;EDA!$H$1,N347&gt;EDA!$H$2),"Outlier","Normal")</f>
        <v>Normal</v>
      </c>
    </row>
    <row r="348" spans="1:16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5">
        <v>655.09</v>
      </c>
      <c r="O348" t="str">
        <f t="shared" si="5"/>
        <v>No Coupon</v>
      </c>
      <c r="P348" t="str">
        <f>IF(OR(N348&lt;EDA!$H$1,N348&gt;EDA!$H$2),"Outlier","Normal")</f>
        <v>Normal</v>
      </c>
    </row>
    <row r="349" spans="1:16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  <c r="O349" t="str">
        <f t="shared" si="5"/>
        <v>SAVE10</v>
      </c>
      <c r="P349" t="str">
        <f>IF(OR(N349&lt;EDA!$H$1,N349&gt;EDA!$H$2),"Outlier","Normal")</f>
        <v>Normal</v>
      </c>
    </row>
    <row r="350" spans="1:16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  <c r="O350" t="str">
        <f t="shared" si="5"/>
        <v>FREESHIP</v>
      </c>
      <c r="P350" t="str">
        <f>IF(OR(N350&lt;EDA!$H$1,N350&gt;EDA!$H$2),"Outlier","Normal")</f>
        <v>Normal</v>
      </c>
    </row>
    <row r="351" spans="1:16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  <c r="O351" t="str">
        <f t="shared" si="5"/>
        <v>FREESHIP</v>
      </c>
      <c r="P351" t="str">
        <f>IF(OR(N351&lt;EDA!$H$1,N351&gt;EDA!$H$2),"Outlier","Normal")</f>
        <v>Normal</v>
      </c>
    </row>
    <row r="352" spans="1:16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5">
        <v>108.82</v>
      </c>
      <c r="O352" t="str">
        <f t="shared" si="5"/>
        <v>No Coupon</v>
      </c>
      <c r="P352" t="str">
        <f>IF(OR(N352&lt;EDA!$H$1,N352&gt;EDA!$H$2),"Outlier","Normal")</f>
        <v>Normal</v>
      </c>
    </row>
    <row r="353" spans="1:16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5">
        <v>64.66</v>
      </c>
      <c r="O353" t="str">
        <f t="shared" si="5"/>
        <v>No Coupon</v>
      </c>
      <c r="P353" t="str">
        <f>IF(OR(N353&lt;EDA!$H$1,N353&gt;EDA!$H$2),"Outlier","Normal")</f>
        <v>Normal</v>
      </c>
    </row>
    <row r="354" spans="1:16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  <c r="O354" t="str">
        <f t="shared" si="5"/>
        <v>WINTER15</v>
      </c>
      <c r="P354" t="str">
        <f>IF(OR(N354&lt;EDA!$H$1,N354&gt;EDA!$H$2),"Outlier","Normal")</f>
        <v>Normal</v>
      </c>
    </row>
    <row r="355" spans="1:16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  <c r="O355" t="str">
        <f t="shared" si="5"/>
        <v>FREESHIP</v>
      </c>
      <c r="P355" t="str">
        <f>IF(OR(N355&lt;EDA!$H$1,N355&gt;EDA!$H$2),"Outlier","Normal")</f>
        <v>Normal</v>
      </c>
    </row>
    <row r="356" spans="1:16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5">
        <v>693.41</v>
      </c>
      <c r="O356" t="str">
        <f t="shared" si="5"/>
        <v>No Coupon</v>
      </c>
      <c r="P356" t="str">
        <f>IF(OR(N356&lt;EDA!$H$1,N356&gt;EDA!$H$2),"Outlier","Normal")</f>
        <v>Normal</v>
      </c>
    </row>
    <row r="357" spans="1:16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  <c r="O357" t="str">
        <f t="shared" si="5"/>
        <v>FREESHIP</v>
      </c>
      <c r="P357" t="str">
        <f>IF(OR(N357&lt;EDA!$H$1,N357&gt;EDA!$H$2),"Outlier","Normal")</f>
        <v>Normal</v>
      </c>
    </row>
    <row r="358" spans="1:16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  <c r="O358" t="str">
        <f t="shared" si="5"/>
        <v>FREESHIP</v>
      </c>
      <c r="P358" t="str">
        <f>IF(OR(N358&lt;EDA!$H$1,N358&gt;EDA!$H$2),"Outlier","Normal")</f>
        <v>Normal</v>
      </c>
    </row>
    <row r="359" spans="1:16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  <c r="O359" t="str">
        <f t="shared" si="5"/>
        <v>FREESHIP</v>
      </c>
      <c r="P359" t="str">
        <f>IF(OR(N359&lt;EDA!$H$1,N359&gt;EDA!$H$2),"Outlier","Normal")</f>
        <v>Normal</v>
      </c>
    </row>
    <row r="360" spans="1:16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  <c r="O360" t="str">
        <f t="shared" si="5"/>
        <v>SAVE10</v>
      </c>
      <c r="P360" t="str">
        <f>IF(OR(N360&lt;EDA!$H$1,N360&gt;EDA!$H$2),"Outlier","Normal")</f>
        <v>Normal</v>
      </c>
    </row>
    <row r="361" spans="1:16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  <c r="O361" t="str">
        <f t="shared" si="5"/>
        <v>WINTER15</v>
      </c>
      <c r="P361" t="str">
        <f>IF(OR(N361&lt;EDA!$H$1,N361&gt;EDA!$H$2),"Outlier","Normal")</f>
        <v>Normal</v>
      </c>
    </row>
    <row r="362" spans="1:16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5">
        <v>2358.2800000000002</v>
      </c>
      <c r="O362" t="str">
        <f t="shared" si="5"/>
        <v>No Coupon</v>
      </c>
      <c r="P362" t="str">
        <f>IF(OR(N362&lt;EDA!$H$1,N362&gt;EDA!$H$2),"Outlier","Normal")</f>
        <v>Normal</v>
      </c>
    </row>
    <row r="363" spans="1:16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  <c r="O363" t="str">
        <f t="shared" si="5"/>
        <v>SAVE10</v>
      </c>
      <c r="P363" t="str">
        <f>IF(OR(N363&lt;EDA!$H$1,N363&gt;EDA!$H$2),"Outlier","Normal")</f>
        <v>Normal</v>
      </c>
    </row>
    <row r="364" spans="1:16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  <c r="O364" t="str">
        <f t="shared" si="5"/>
        <v>WINTER15</v>
      </c>
      <c r="P364" t="str">
        <f>IF(OR(N364&lt;EDA!$H$1,N364&gt;EDA!$H$2),"Outlier","Normal")</f>
        <v>Normal</v>
      </c>
    </row>
    <row r="365" spans="1:16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  <c r="O365" t="str">
        <f t="shared" si="5"/>
        <v>SAVE10</v>
      </c>
      <c r="P365" t="str">
        <f>IF(OR(N365&lt;EDA!$H$1,N365&gt;EDA!$H$2),"Outlier","Normal")</f>
        <v>Normal</v>
      </c>
    </row>
    <row r="366" spans="1:16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  <c r="O366" t="str">
        <f t="shared" si="5"/>
        <v>FREESHIP</v>
      </c>
      <c r="P366" t="str">
        <f>IF(OR(N366&lt;EDA!$H$1,N366&gt;EDA!$H$2),"Outlier","Normal")</f>
        <v>Normal</v>
      </c>
    </row>
    <row r="367" spans="1:16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  <c r="O367" t="str">
        <f t="shared" si="5"/>
        <v>SAVE10</v>
      </c>
      <c r="P367" t="str">
        <f>IF(OR(N367&lt;EDA!$H$1,N367&gt;EDA!$H$2),"Outlier","Normal")</f>
        <v>Normal</v>
      </c>
    </row>
    <row r="368" spans="1:16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5">
        <v>1806.72</v>
      </c>
      <c r="O368" t="str">
        <f t="shared" si="5"/>
        <v>No Coupon</v>
      </c>
      <c r="P368" t="str">
        <f>IF(OR(N368&lt;EDA!$H$1,N368&gt;EDA!$H$2),"Outlier","Normal")</f>
        <v>Normal</v>
      </c>
    </row>
    <row r="369" spans="1:16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  <c r="O369" t="str">
        <f t="shared" si="5"/>
        <v>FREESHIP</v>
      </c>
      <c r="P369" t="str">
        <f>IF(OR(N369&lt;EDA!$H$1,N369&gt;EDA!$H$2),"Outlier","Normal")</f>
        <v>Normal</v>
      </c>
    </row>
    <row r="370" spans="1:16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5">
        <v>813.06</v>
      </c>
      <c r="O370" t="str">
        <f t="shared" si="5"/>
        <v>No Coupon</v>
      </c>
      <c r="P370" t="str">
        <f>IF(OR(N370&lt;EDA!$H$1,N370&gt;EDA!$H$2),"Outlier","Normal")</f>
        <v>Normal</v>
      </c>
    </row>
    <row r="371" spans="1:16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  <c r="O371" t="str">
        <f t="shared" si="5"/>
        <v>SAVE10</v>
      </c>
      <c r="P371" t="str">
        <f>IF(OR(N371&lt;EDA!$H$1,N371&gt;EDA!$H$2),"Outlier","Normal")</f>
        <v>Normal</v>
      </c>
    </row>
    <row r="372" spans="1:16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  <c r="O372" t="str">
        <f t="shared" si="5"/>
        <v>WINTER15</v>
      </c>
      <c r="P372" t="str">
        <f>IF(OR(N372&lt;EDA!$H$1,N372&gt;EDA!$H$2),"Outlier","Normal")</f>
        <v>Normal</v>
      </c>
    </row>
    <row r="373" spans="1:16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  <c r="O373" t="str">
        <f t="shared" si="5"/>
        <v>FREESHIP</v>
      </c>
      <c r="P373" t="str">
        <f>IF(OR(N373&lt;EDA!$H$1,N373&gt;EDA!$H$2),"Outlier","Normal")</f>
        <v>Normal</v>
      </c>
    </row>
    <row r="374" spans="1:16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5">
        <v>1450.59</v>
      </c>
      <c r="O374" t="str">
        <f t="shared" si="5"/>
        <v>No Coupon</v>
      </c>
      <c r="P374" t="str">
        <f>IF(OR(N374&lt;EDA!$H$1,N374&gt;EDA!$H$2),"Outlier","Normal")</f>
        <v>Normal</v>
      </c>
    </row>
    <row r="375" spans="1:16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  <c r="O375" t="str">
        <f t="shared" si="5"/>
        <v>FREESHIP</v>
      </c>
      <c r="P375" t="str">
        <f>IF(OR(N375&lt;EDA!$H$1,N375&gt;EDA!$H$2),"Outlier","Normal")</f>
        <v>Normal</v>
      </c>
    </row>
    <row r="376" spans="1:16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  <c r="O376" t="str">
        <f t="shared" si="5"/>
        <v>WINTER15</v>
      </c>
      <c r="P376" t="str">
        <f>IF(OR(N376&lt;EDA!$H$1,N376&gt;EDA!$H$2),"Outlier","Normal")</f>
        <v>Normal</v>
      </c>
    </row>
    <row r="377" spans="1:16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  <c r="O377" t="str">
        <f t="shared" si="5"/>
        <v>FREESHIP</v>
      </c>
      <c r="P377" t="str">
        <f>IF(OR(N377&lt;EDA!$H$1,N377&gt;EDA!$H$2),"Outlier","Normal")</f>
        <v>Normal</v>
      </c>
    </row>
    <row r="378" spans="1:16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  <c r="O378" t="str">
        <f t="shared" si="5"/>
        <v>FREESHIP</v>
      </c>
      <c r="P378" t="str">
        <f>IF(OR(N378&lt;EDA!$H$1,N378&gt;EDA!$H$2),"Outlier","Normal")</f>
        <v>Normal</v>
      </c>
    </row>
    <row r="379" spans="1:16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  <c r="O379" t="str">
        <f t="shared" si="5"/>
        <v>WINTER15</v>
      </c>
      <c r="P379" t="str">
        <f>IF(OR(N379&lt;EDA!$H$1,N379&gt;EDA!$H$2),"Outlier","Normal")</f>
        <v>Normal</v>
      </c>
    </row>
    <row r="380" spans="1:16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  <c r="O380" t="str">
        <f t="shared" si="5"/>
        <v>WINTER15</v>
      </c>
      <c r="P380" t="str">
        <f>IF(OR(N380&lt;EDA!$H$1,N380&gt;EDA!$H$2),"Outlier","Normal")</f>
        <v>Normal</v>
      </c>
    </row>
    <row r="381" spans="1:16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5">
        <v>893.01</v>
      </c>
      <c r="O381" t="str">
        <f t="shared" si="5"/>
        <v>No Coupon</v>
      </c>
      <c r="P381" t="str">
        <f>IF(OR(N381&lt;EDA!$H$1,N381&gt;EDA!$H$2),"Outlier","Normal")</f>
        <v>Normal</v>
      </c>
    </row>
    <row r="382" spans="1:16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  <c r="O382" t="str">
        <f t="shared" si="5"/>
        <v>SAVE10</v>
      </c>
      <c r="P382" t="str">
        <f>IF(OR(N382&lt;EDA!$H$1,N382&gt;EDA!$H$2),"Outlier","Normal")</f>
        <v>Normal</v>
      </c>
    </row>
    <row r="383" spans="1:16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  <c r="O383" t="str">
        <f t="shared" si="5"/>
        <v>FREESHIP</v>
      </c>
      <c r="P383" t="str">
        <f>IF(OR(N383&lt;EDA!$H$1,N383&gt;EDA!$H$2),"Outlier","Normal")</f>
        <v>Normal</v>
      </c>
    </row>
    <row r="384" spans="1:16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  <c r="O384" t="str">
        <f t="shared" si="5"/>
        <v>SAVE10</v>
      </c>
      <c r="P384" t="str">
        <f>IF(OR(N384&lt;EDA!$H$1,N384&gt;EDA!$H$2),"Outlier","Normal")</f>
        <v>Normal</v>
      </c>
    </row>
    <row r="385" spans="1:16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  <c r="O385" t="str">
        <f t="shared" si="5"/>
        <v>SAVE10</v>
      </c>
      <c r="P385" t="str">
        <f>IF(OR(N385&lt;EDA!$H$1,N385&gt;EDA!$H$2),"Outlier","Normal")</f>
        <v>Normal</v>
      </c>
    </row>
    <row r="386" spans="1:16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  <c r="O386" t="str">
        <f t="shared" si="5"/>
        <v>FREESHIP</v>
      </c>
      <c r="P386" t="str">
        <f>IF(OR(N386&lt;EDA!$H$1,N386&gt;EDA!$H$2),"Outlier","Normal")</f>
        <v>Normal</v>
      </c>
    </row>
    <row r="387" spans="1:16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  <c r="O387" t="str">
        <f t="shared" ref="O387:O450" si="6">IF(L387="","No Coupon",L387)</f>
        <v>FREESHIP</v>
      </c>
      <c r="P387" t="str">
        <f>IF(OR(N387&lt;EDA!$H$1,N387&gt;EDA!$H$2),"Outlier","Normal")</f>
        <v>Normal</v>
      </c>
    </row>
    <row r="388" spans="1:16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5">
        <v>93.02</v>
      </c>
      <c r="O388" t="str">
        <f t="shared" si="6"/>
        <v>No Coupon</v>
      </c>
      <c r="P388" t="str">
        <f>IF(OR(N388&lt;EDA!$H$1,N388&gt;EDA!$H$2),"Outlier","Normal")</f>
        <v>Normal</v>
      </c>
    </row>
    <row r="389" spans="1:16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  <c r="O389" t="str">
        <f t="shared" si="6"/>
        <v>WINTER15</v>
      </c>
      <c r="P389" t="str">
        <f>IF(OR(N389&lt;EDA!$H$1,N389&gt;EDA!$H$2),"Outlier","Normal")</f>
        <v>Normal</v>
      </c>
    </row>
    <row r="390" spans="1:16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  <c r="O390" t="str">
        <f t="shared" si="6"/>
        <v>WINTER15</v>
      </c>
      <c r="P390" t="str">
        <f>IF(OR(N390&lt;EDA!$H$1,N390&gt;EDA!$H$2),"Outlier","Normal")</f>
        <v>Normal</v>
      </c>
    </row>
    <row r="391" spans="1:16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  <c r="O391" t="str">
        <f t="shared" si="6"/>
        <v>FREESHIP</v>
      </c>
      <c r="P391" t="str">
        <f>IF(OR(N391&lt;EDA!$H$1,N391&gt;EDA!$H$2),"Outlier","Normal")</f>
        <v>Normal</v>
      </c>
    </row>
    <row r="392" spans="1:16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  <c r="O392" t="str">
        <f t="shared" si="6"/>
        <v>FREESHIP</v>
      </c>
      <c r="P392" t="str">
        <f>IF(OR(N392&lt;EDA!$H$1,N392&gt;EDA!$H$2),"Outlier","Normal")</f>
        <v>Normal</v>
      </c>
    </row>
    <row r="393" spans="1:16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  <c r="O393" t="str">
        <f t="shared" si="6"/>
        <v>FREESHIP</v>
      </c>
      <c r="P393" t="str">
        <f>IF(OR(N393&lt;EDA!$H$1,N393&gt;EDA!$H$2),"Outlier","Normal")</f>
        <v>Normal</v>
      </c>
    </row>
    <row r="394" spans="1:16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  <c r="O394" t="str">
        <f t="shared" si="6"/>
        <v>WINTER15</v>
      </c>
      <c r="P394" t="str">
        <f>IF(OR(N394&lt;EDA!$H$1,N394&gt;EDA!$H$2),"Outlier","Normal")</f>
        <v>Normal</v>
      </c>
    </row>
    <row r="395" spans="1:16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5">
        <v>75.010000000000005</v>
      </c>
      <c r="O395" t="str">
        <f t="shared" si="6"/>
        <v>No Coupon</v>
      </c>
      <c r="P395" t="str">
        <f>IF(OR(N395&lt;EDA!$H$1,N395&gt;EDA!$H$2),"Outlier","Normal")</f>
        <v>Normal</v>
      </c>
    </row>
    <row r="396" spans="1:16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5">
        <v>2647.75</v>
      </c>
      <c r="O396" t="str">
        <f t="shared" si="6"/>
        <v>No Coupon</v>
      </c>
      <c r="P396" t="str">
        <f>IF(OR(N396&lt;EDA!$H$1,N396&gt;EDA!$H$2),"Outlier","Normal")</f>
        <v>Normal</v>
      </c>
    </row>
    <row r="397" spans="1:16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  <c r="O397" t="str">
        <f t="shared" si="6"/>
        <v>SAVE10</v>
      </c>
      <c r="P397" t="str">
        <f>IF(OR(N397&lt;EDA!$H$1,N397&gt;EDA!$H$2),"Outlier","Normal")</f>
        <v>Normal</v>
      </c>
    </row>
    <row r="398" spans="1:16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  <c r="O398" t="str">
        <f t="shared" si="6"/>
        <v>SAVE10</v>
      </c>
      <c r="P398" t="str">
        <f>IF(OR(N398&lt;EDA!$H$1,N398&gt;EDA!$H$2),"Outlier","Normal")</f>
        <v>Normal</v>
      </c>
    </row>
    <row r="399" spans="1:16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  <c r="O399" t="str">
        <f t="shared" si="6"/>
        <v>WINTER15</v>
      </c>
      <c r="P399" t="str">
        <f>IF(OR(N399&lt;EDA!$H$1,N399&gt;EDA!$H$2),"Outlier","Normal")</f>
        <v>Normal</v>
      </c>
    </row>
    <row r="400" spans="1:16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  <c r="O400" t="str">
        <f t="shared" si="6"/>
        <v>SAVE10</v>
      </c>
      <c r="P400" t="str">
        <f>IF(OR(N400&lt;EDA!$H$1,N400&gt;EDA!$H$2),"Outlier","Normal")</f>
        <v>Normal</v>
      </c>
    </row>
    <row r="401" spans="1:16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  <c r="O401" t="str">
        <f t="shared" si="6"/>
        <v>FREESHIP</v>
      </c>
      <c r="P401" t="str">
        <f>IF(OR(N401&lt;EDA!$H$1,N401&gt;EDA!$H$2),"Outlier","Normal")</f>
        <v>Normal</v>
      </c>
    </row>
    <row r="402" spans="1:16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  <c r="O402" t="str">
        <f t="shared" si="6"/>
        <v>WINTER15</v>
      </c>
      <c r="P402" t="str">
        <f>IF(OR(N402&lt;EDA!$H$1,N402&gt;EDA!$H$2),"Outlier","Normal")</f>
        <v>Normal</v>
      </c>
    </row>
    <row r="403" spans="1:16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5">
        <v>538.67999999999995</v>
      </c>
      <c r="O403" t="str">
        <f t="shared" si="6"/>
        <v>No Coupon</v>
      </c>
      <c r="P403" t="str">
        <f>IF(OR(N403&lt;EDA!$H$1,N403&gt;EDA!$H$2),"Outlier","Normal")</f>
        <v>Normal</v>
      </c>
    </row>
    <row r="404" spans="1:16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5">
        <v>1686.9</v>
      </c>
      <c r="O404" t="str">
        <f t="shared" si="6"/>
        <v>No Coupon</v>
      </c>
      <c r="P404" t="str">
        <f>IF(OR(N404&lt;EDA!$H$1,N404&gt;EDA!$H$2),"Outlier","Normal")</f>
        <v>Normal</v>
      </c>
    </row>
    <row r="405" spans="1:16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  <c r="O405" t="str">
        <f t="shared" si="6"/>
        <v>FREESHIP</v>
      </c>
      <c r="P405" t="str">
        <f>IF(OR(N405&lt;EDA!$H$1,N405&gt;EDA!$H$2),"Outlier","Normal")</f>
        <v>Normal</v>
      </c>
    </row>
    <row r="406" spans="1:16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5">
        <v>198.2</v>
      </c>
      <c r="O406" t="str">
        <f t="shared" si="6"/>
        <v>No Coupon</v>
      </c>
      <c r="P406" t="str">
        <f>IF(OR(N406&lt;EDA!$H$1,N406&gt;EDA!$H$2),"Outlier","Normal")</f>
        <v>Normal</v>
      </c>
    </row>
    <row r="407" spans="1:16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  <c r="O407" t="str">
        <f t="shared" si="6"/>
        <v>WINTER15</v>
      </c>
      <c r="P407" t="str">
        <f>IF(OR(N407&lt;EDA!$H$1,N407&gt;EDA!$H$2),"Outlier","Normal")</f>
        <v>Normal</v>
      </c>
    </row>
    <row r="408" spans="1:16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  <c r="O408" t="str">
        <f t="shared" si="6"/>
        <v>WINTER15</v>
      </c>
      <c r="P408" t="str">
        <f>IF(OR(N408&lt;EDA!$H$1,N408&gt;EDA!$H$2),"Outlier","Normal")</f>
        <v>Normal</v>
      </c>
    </row>
    <row r="409" spans="1:16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  <c r="O409" t="str">
        <f t="shared" si="6"/>
        <v>FREESHIP</v>
      </c>
      <c r="P409" t="str">
        <f>IF(OR(N409&lt;EDA!$H$1,N409&gt;EDA!$H$2),"Outlier","Normal")</f>
        <v>Normal</v>
      </c>
    </row>
    <row r="410" spans="1:16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  <c r="O410" t="str">
        <f t="shared" si="6"/>
        <v>WINTER15</v>
      </c>
      <c r="P410" t="str">
        <f>IF(OR(N410&lt;EDA!$H$1,N410&gt;EDA!$H$2),"Outlier","Normal")</f>
        <v>Normal</v>
      </c>
    </row>
    <row r="411" spans="1:16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  <c r="O411" t="str">
        <f t="shared" si="6"/>
        <v>SAVE10</v>
      </c>
      <c r="P411" t="str">
        <f>IF(OR(N411&lt;EDA!$H$1,N411&gt;EDA!$H$2),"Outlier","Normal")</f>
        <v>Normal</v>
      </c>
    </row>
    <row r="412" spans="1:16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5">
        <v>1036.46</v>
      </c>
      <c r="O412" t="str">
        <f t="shared" si="6"/>
        <v>No Coupon</v>
      </c>
      <c r="P412" t="str">
        <f>IF(OR(N412&lt;EDA!$H$1,N412&gt;EDA!$H$2),"Outlier","Normal")</f>
        <v>Normal</v>
      </c>
    </row>
    <row r="413" spans="1:16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5">
        <v>79.02</v>
      </c>
      <c r="O413" t="str">
        <f t="shared" si="6"/>
        <v>No Coupon</v>
      </c>
      <c r="P413" t="str">
        <f>IF(OR(N413&lt;EDA!$H$1,N413&gt;EDA!$H$2),"Outlier","Normal")</f>
        <v>Normal</v>
      </c>
    </row>
    <row r="414" spans="1:16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5">
        <v>665.05</v>
      </c>
      <c r="O414" t="str">
        <f t="shared" si="6"/>
        <v>No Coupon</v>
      </c>
      <c r="P414" t="str">
        <f>IF(OR(N414&lt;EDA!$H$1,N414&gt;EDA!$H$2),"Outlier","Normal")</f>
        <v>Normal</v>
      </c>
    </row>
    <row r="415" spans="1:16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  <c r="O415" t="str">
        <f t="shared" si="6"/>
        <v>SAVE10</v>
      </c>
      <c r="P415" t="str">
        <f>IF(OR(N415&lt;EDA!$H$1,N415&gt;EDA!$H$2),"Outlier","Normal")</f>
        <v>Normal</v>
      </c>
    </row>
    <row r="416" spans="1:16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  <c r="O416" t="str">
        <f t="shared" si="6"/>
        <v>WINTER15</v>
      </c>
      <c r="P416" t="str">
        <f>IF(OR(N416&lt;EDA!$H$1,N416&gt;EDA!$H$2),"Outlier","Normal")</f>
        <v>Normal</v>
      </c>
    </row>
    <row r="417" spans="1:16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  <c r="O417" t="str">
        <f t="shared" si="6"/>
        <v>FREESHIP</v>
      </c>
      <c r="P417" t="str">
        <f>IF(OR(N417&lt;EDA!$H$1,N417&gt;EDA!$H$2),"Outlier","Normal")</f>
        <v>Normal</v>
      </c>
    </row>
    <row r="418" spans="1:16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  <c r="O418" t="str">
        <f t="shared" si="6"/>
        <v>WINTER15</v>
      </c>
      <c r="P418" t="str">
        <f>IF(OR(N418&lt;EDA!$H$1,N418&gt;EDA!$H$2),"Outlier","Normal")</f>
        <v>Normal</v>
      </c>
    </row>
    <row r="419" spans="1:16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5">
        <v>277.05</v>
      </c>
      <c r="O419" t="str">
        <f t="shared" si="6"/>
        <v>No Coupon</v>
      </c>
      <c r="P419" t="str">
        <f>IF(OR(N419&lt;EDA!$H$1,N419&gt;EDA!$H$2),"Outlier","Normal")</f>
        <v>Normal</v>
      </c>
    </row>
    <row r="420" spans="1:16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5">
        <v>310.93</v>
      </c>
      <c r="O420" t="str">
        <f t="shared" si="6"/>
        <v>No Coupon</v>
      </c>
      <c r="P420" t="str">
        <f>IF(OR(N420&lt;EDA!$H$1,N420&gt;EDA!$H$2),"Outlier","Normal")</f>
        <v>Normal</v>
      </c>
    </row>
    <row r="421" spans="1:16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  <c r="O421" t="str">
        <f t="shared" si="6"/>
        <v>FREESHIP</v>
      </c>
      <c r="P421" t="str">
        <f>IF(OR(N421&lt;EDA!$H$1,N421&gt;EDA!$H$2),"Outlier","Normal")</f>
        <v>Normal</v>
      </c>
    </row>
    <row r="422" spans="1:16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  <c r="O422" t="str">
        <f t="shared" si="6"/>
        <v>FREESHIP</v>
      </c>
      <c r="P422" t="str">
        <f>IF(OR(N422&lt;EDA!$H$1,N422&gt;EDA!$H$2),"Outlier","Normal")</f>
        <v>Normal</v>
      </c>
    </row>
    <row r="423" spans="1:16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5">
        <v>576.41999999999996</v>
      </c>
      <c r="O423" t="str">
        <f t="shared" si="6"/>
        <v>No Coupon</v>
      </c>
      <c r="P423" t="str">
        <f>IF(OR(N423&lt;EDA!$H$1,N423&gt;EDA!$H$2),"Outlier","Normal")</f>
        <v>Normal</v>
      </c>
    </row>
    <row r="424" spans="1:16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  <c r="O424" t="str">
        <f t="shared" si="6"/>
        <v>WINTER15</v>
      </c>
      <c r="P424" t="str">
        <f>IF(OR(N424&lt;EDA!$H$1,N424&gt;EDA!$H$2),"Outlier","Normal")</f>
        <v>Normal</v>
      </c>
    </row>
    <row r="425" spans="1:16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  <c r="O425" t="str">
        <f t="shared" si="6"/>
        <v>WINTER15</v>
      </c>
      <c r="P425" t="str">
        <f>IF(OR(N425&lt;EDA!$H$1,N425&gt;EDA!$H$2),"Outlier","Normal")</f>
        <v>Normal</v>
      </c>
    </row>
    <row r="426" spans="1:16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5">
        <v>114.7</v>
      </c>
      <c r="O426" t="str">
        <f t="shared" si="6"/>
        <v>No Coupon</v>
      </c>
      <c r="P426" t="str">
        <f>IF(OR(N426&lt;EDA!$H$1,N426&gt;EDA!$H$2),"Outlier","Normal")</f>
        <v>Normal</v>
      </c>
    </row>
    <row r="427" spans="1:16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  <c r="O427" t="str">
        <f t="shared" si="6"/>
        <v>WINTER15</v>
      </c>
      <c r="P427" t="str">
        <f>IF(OR(N427&lt;EDA!$H$1,N427&gt;EDA!$H$2),"Outlier","Normal")</f>
        <v>Normal</v>
      </c>
    </row>
    <row r="428" spans="1:16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5">
        <v>287.25</v>
      </c>
      <c r="O428" t="str">
        <f t="shared" si="6"/>
        <v>No Coupon</v>
      </c>
      <c r="P428" t="str">
        <f>IF(OR(N428&lt;EDA!$H$1,N428&gt;EDA!$H$2),"Outlier","Normal")</f>
        <v>Normal</v>
      </c>
    </row>
    <row r="429" spans="1:16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  <c r="O429" t="str">
        <f t="shared" si="6"/>
        <v>WINTER15</v>
      </c>
      <c r="P429" t="str">
        <f>IF(OR(N429&lt;EDA!$H$1,N429&gt;EDA!$H$2),"Outlier","Normal")</f>
        <v>Normal</v>
      </c>
    </row>
    <row r="430" spans="1:16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  <c r="O430" t="str">
        <f t="shared" si="6"/>
        <v>WINTER15</v>
      </c>
      <c r="P430" t="str">
        <f>IF(OR(N430&lt;EDA!$H$1,N430&gt;EDA!$H$2),"Outlier","Normal")</f>
        <v>Normal</v>
      </c>
    </row>
    <row r="431" spans="1:16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  <c r="O431" t="str">
        <f t="shared" si="6"/>
        <v>SAVE10</v>
      </c>
      <c r="P431" t="str">
        <f>IF(OR(N431&lt;EDA!$H$1,N431&gt;EDA!$H$2),"Outlier","Normal")</f>
        <v>Normal</v>
      </c>
    </row>
    <row r="432" spans="1:16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  <c r="O432" t="str">
        <f t="shared" si="6"/>
        <v>FREESHIP</v>
      </c>
      <c r="P432" t="str">
        <f>IF(OR(N432&lt;EDA!$H$1,N432&gt;EDA!$H$2),"Outlier","Normal")</f>
        <v>Normal</v>
      </c>
    </row>
    <row r="433" spans="1:16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  <c r="O433" t="str">
        <f t="shared" si="6"/>
        <v>WINTER15</v>
      </c>
      <c r="P433" t="str">
        <f>IF(OR(N433&lt;EDA!$H$1,N433&gt;EDA!$H$2),"Outlier","Normal")</f>
        <v>Normal</v>
      </c>
    </row>
    <row r="434" spans="1:16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5">
        <v>848.64</v>
      </c>
      <c r="O434" t="str">
        <f t="shared" si="6"/>
        <v>No Coupon</v>
      </c>
      <c r="P434" t="str">
        <f>IF(OR(N434&lt;EDA!$H$1,N434&gt;EDA!$H$2),"Outlier","Normal")</f>
        <v>Normal</v>
      </c>
    </row>
    <row r="435" spans="1:16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  <c r="O435" t="str">
        <f t="shared" si="6"/>
        <v>FREESHIP</v>
      </c>
      <c r="P435" t="str">
        <f>IF(OR(N435&lt;EDA!$H$1,N435&gt;EDA!$H$2),"Outlier","Normal")</f>
        <v>Normal</v>
      </c>
    </row>
    <row r="436" spans="1:16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5">
        <v>1638.4</v>
      </c>
      <c r="O436" t="str">
        <f t="shared" si="6"/>
        <v>No Coupon</v>
      </c>
      <c r="P436" t="str">
        <f>IF(OR(N436&lt;EDA!$H$1,N436&gt;EDA!$H$2),"Outlier","Normal")</f>
        <v>Normal</v>
      </c>
    </row>
    <row r="437" spans="1:16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  <c r="O437" t="str">
        <f t="shared" si="6"/>
        <v>FREESHIP</v>
      </c>
      <c r="P437" t="str">
        <f>IF(OR(N437&lt;EDA!$H$1,N437&gt;EDA!$H$2),"Outlier","Normal")</f>
        <v>Normal</v>
      </c>
    </row>
    <row r="438" spans="1:16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5">
        <v>885.32</v>
      </c>
      <c r="O438" t="str">
        <f t="shared" si="6"/>
        <v>No Coupon</v>
      </c>
      <c r="P438" t="str">
        <f>IF(OR(N438&lt;EDA!$H$1,N438&gt;EDA!$H$2),"Outlier","Normal")</f>
        <v>Normal</v>
      </c>
    </row>
    <row r="439" spans="1:16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  <c r="O439" t="str">
        <f t="shared" si="6"/>
        <v>FREESHIP</v>
      </c>
      <c r="P439" t="str">
        <f>IF(OR(N439&lt;EDA!$H$1,N439&gt;EDA!$H$2),"Outlier","Normal")</f>
        <v>Normal</v>
      </c>
    </row>
    <row r="440" spans="1:16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  <c r="O440" t="str">
        <f t="shared" si="6"/>
        <v>SAVE10</v>
      </c>
      <c r="P440" t="str">
        <f>IF(OR(N440&lt;EDA!$H$1,N440&gt;EDA!$H$2),"Outlier","Normal")</f>
        <v>Normal</v>
      </c>
    </row>
    <row r="441" spans="1:16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  <c r="O441" t="str">
        <f t="shared" si="6"/>
        <v>WINTER15</v>
      </c>
      <c r="P441" t="str">
        <f>IF(OR(N441&lt;EDA!$H$1,N441&gt;EDA!$H$2),"Outlier","Normal")</f>
        <v>Normal</v>
      </c>
    </row>
    <row r="442" spans="1:16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  <c r="O442" t="str">
        <f t="shared" si="6"/>
        <v>SAVE10</v>
      </c>
      <c r="P442" t="str">
        <f>IF(OR(N442&lt;EDA!$H$1,N442&gt;EDA!$H$2),"Outlier","Normal")</f>
        <v>Normal</v>
      </c>
    </row>
    <row r="443" spans="1:16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  <c r="O443" t="str">
        <f t="shared" si="6"/>
        <v>FREESHIP</v>
      </c>
      <c r="P443" t="str">
        <f>IF(OR(N443&lt;EDA!$H$1,N443&gt;EDA!$H$2),"Outlier","Normal")</f>
        <v>Normal</v>
      </c>
    </row>
    <row r="444" spans="1:16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  <c r="O444" t="str">
        <f t="shared" si="6"/>
        <v>SAVE10</v>
      </c>
      <c r="P444" t="str">
        <f>IF(OR(N444&lt;EDA!$H$1,N444&gt;EDA!$H$2),"Outlier","Normal")</f>
        <v>Normal</v>
      </c>
    </row>
    <row r="445" spans="1:16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5">
        <v>139.28</v>
      </c>
      <c r="O445" t="str">
        <f t="shared" si="6"/>
        <v>No Coupon</v>
      </c>
      <c r="P445" t="str">
        <f>IF(OR(N445&lt;EDA!$H$1,N445&gt;EDA!$H$2),"Outlier","Normal")</f>
        <v>Normal</v>
      </c>
    </row>
    <row r="446" spans="1:16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  <c r="O446" t="str">
        <f t="shared" si="6"/>
        <v>FREESHIP</v>
      </c>
      <c r="P446" t="str">
        <f>IF(OR(N446&lt;EDA!$H$1,N446&gt;EDA!$H$2),"Outlier","Normal")</f>
        <v>Normal</v>
      </c>
    </row>
    <row r="447" spans="1:16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  <c r="O447" t="str">
        <f t="shared" si="6"/>
        <v>SAVE10</v>
      </c>
      <c r="P447" t="str">
        <f>IF(OR(N447&lt;EDA!$H$1,N447&gt;EDA!$H$2),"Outlier","Normal")</f>
        <v>Normal</v>
      </c>
    </row>
    <row r="448" spans="1:16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  <c r="O448" t="str">
        <f t="shared" si="6"/>
        <v>FREESHIP</v>
      </c>
      <c r="P448" t="str">
        <f>IF(OR(N448&lt;EDA!$H$1,N448&gt;EDA!$H$2),"Outlier","Normal")</f>
        <v>Normal</v>
      </c>
    </row>
    <row r="449" spans="1:16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5">
        <v>833.62</v>
      </c>
      <c r="O449" t="str">
        <f t="shared" si="6"/>
        <v>No Coupon</v>
      </c>
      <c r="P449" t="str">
        <f>IF(OR(N449&lt;EDA!$H$1,N449&gt;EDA!$H$2),"Outlier","Normal")</f>
        <v>Normal</v>
      </c>
    </row>
    <row r="450" spans="1:16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  <c r="O450" t="str">
        <f t="shared" si="6"/>
        <v>SAVE10</v>
      </c>
      <c r="P450" t="str">
        <f>IF(OR(N450&lt;EDA!$H$1,N450&gt;EDA!$H$2),"Outlier","Normal")</f>
        <v>Normal</v>
      </c>
    </row>
    <row r="451" spans="1:16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5">
        <v>759.15000000000009</v>
      </c>
      <c r="O451" t="str">
        <f t="shared" ref="O451:O514" si="7">IF(L451="","No Coupon",L451)</f>
        <v>No Coupon</v>
      </c>
      <c r="P451" t="str">
        <f>IF(OR(N451&lt;EDA!$H$1,N451&gt;EDA!$H$2),"Outlier","Normal")</f>
        <v>Normal</v>
      </c>
    </row>
    <row r="452" spans="1:16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  <c r="O452" t="str">
        <f t="shared" si="7"/>
        <v>WINTER15</v>
      </c>
      <c r="P452" t="str">
        <f>IF(OR(N452&lt;EDA!$H$1,N452&gt;EDA!$H$2),"Outlier","Normal")</f>
        <v>Normal</v>
      </c>
    </row>
    <row r="453" spans="1:16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  <c r="O453" t="str">
        <f t="shared" si="7"/>
        <v>SAVE10</v>
      </c>
      <c r="P453" t="str">
        <f>IF(OR(N453&lt;EDA!$H$1,N453&gt;EDA!$H$2),"Outlier","Normal")</f>
        <v>Normal</v>
      </c>
    </row>
    <row r="454" spans="1:16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  <c r="O454" t="str">
        <f t="shared" si="7"/>
        <v>SAVE10</v>
      </c>
      <c r="P454" t="str">
        <f>IF(OR(N454&lt;EDA!$H$1,N454&gt;EDA!$H$2),"Outlier","Normal")</f>
        <v>Normal</v>
      </c>
    </row>
    <row r="455" spans="1:16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  <c r="O455" t="str">
        <f t="shared" si="7"/>
        <v>WINTER15</v>
      </c>
      <c r="P455" t="str">
        <f>IF(OR(N455&lt;EDA!$H$1,N455&gt;EDA!$H$2),"Outlier","Normal")</f>
        <v>Normal</v>
      </c>
    </row>
    <row r="456" spans="1:16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  <c r="O456" t="str">
        <f t="shared" si="7"/>
        <v>FREESHIP</v>
      </c>
      <c r="P456" t="str">
        <f>IF(OR(N456&lt;EDA!$H$1,N456&gt;EDA!$H$2),"Outlier","Normal")</f>
        <v>Normal</v>
      </c>
    </row>
    <row r="457" spans="1:16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  <c r="O457" t="str">
        <f t="shared" si="7"/>
        <v>SAVE10</v>
      </c>
      <c r="P457" t="str">
        <f>IF(OR(N457&lt;EDA!$H$1,N457&gt;EDA!$H$2),"Outlier","Normal")</f>
        <v>Normal</v>
      </c>
    </row>
    <row r="458" spans="1:16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  <c r="O458" t="str">
        <f t="shared" si="7"/>
        <v>SAVE10</v>
      </c>
      <c r="P458" t="str">
        <f>IF(OR(N458&lt;EDA!$H$1,N458&gt;EDA!$H$2),"Outlier","Normal")</f>
        <v>Normal</v>
      </c>
    </row>
    <row r="459" spans="1:16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  <c r="O459" t="str">
        <f t="shared" si="7"/>
        <v>WINTER15</v>
      </c>
      <c r="P459" t="str">
        <f>IF(OR(N459&lt;EDA!$H$1,N459&gt;EDA!$H$2),"Outlier","Normal")</f>
        <v>Normal</v>
      </c>
    </row>
    <row r="460" spans="1:16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  <c r="O460" t="str">
        <f t="shared" si="7"/>
        <v>WINTER15</v>
      </c>
      <c r="P460" t="str">
        <f>IF(OR(N460&lt;EDA!$H$1,N460&gt;EDA!$H$2),"Outlier","Normal")</f>
        <v>Normal</v>
      </c>
    </row>
    <row r="461" spans="1:16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5">
        <v>334.39</v>
      </c>
      <c r="O461" t="str">
        <f t="shared" si="7"/>
        <v>No Coupon</v>
      </c>
      <c r="P461" t="str">
        <f>IF(OR(N461&lt;EDA!$H$1,N461&gt;EDA!$H$2),"Outlier","Normal")</f>
        <v>Normal</v>
      </c>
    </row>
    <row r="462" spans="1:16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  <c r="O462" t="str">
        <f t="shared" si="7"/>
        <v>WINTER15</v>
      </c>
      <c r="P462" t="str">
        <f>IF(OR(N462&lt;EDA!$H$1,N462&gt;EDA!$H$2),"Outlier","Normal")</f>
        <v>Normal</v>
      </c>
    </row>
    <row r="463" spans="1:16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  <c r="O463" t="str">
        <f t="shared" si="7"/>
        <v>FREESHIP</v>
      </c>
      <c r="P463" t="str">
        <f>IF(OR(N463&lt;EDA!$H$1,N463&gt;EDA!$H$2),"Outlier","Normal")</f>
        <v>Normal</v>
      </c>
    </row>
    <row r="464" spans="1:16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5">
        <v>252.68</v>
      </c>
      <c r="O464" t="str">
        <f t="shared" si="7"/>
        <v>No Coupon</v>
      </c>
      <c r="P464" t="str">
        <f>IF(OR(N464&lt;EDA!$H$1,N464&gt;EDA!$H$2),"Outlier","Normal")</f>
        <v>Normal</v>
      </c>
    </row>
    <row r="465" spans="1:16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  <c r="O465" t="str">
        <f t="shared" si="7"/>
        <v>SAVE10</v>
      </c>
      <c r="P465" t="str">
        <f>IF(OR(N465&lt;EDA!$H$1,N465&gt;EDA!$H$2),"Outlier","Normal")</f>
        <v>Normal</v>
      </c>
    </row>
    <row r="466" spans="1:16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  <c r="O466" t="str">
        <f t="shared" si="7"/>
        <v>FREESHIP</v>
      </c>
      <c r="P466" t="str">
        <f>IF(OR(N466&lt;EDA!$H$1,N466&gt;EDA!$H$2),"Outlier","Normal")</f>
        <v>Normal</v>
      </c>
    </row>
    <row r="467" spans="1:16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5">
        <v>2567.4499999999998</v>
      </c>
      <c r="O467" t="str">
        <f t="shared" si="7"/>
        <v>No Coupon</v>
      </c>
      <c r="P467" t="str">
        <f>IF(OR(N467&lt;EDA!$H$1,N467&gt;EDA!$H$2),"Outlier","Normal")</f>
        <v>Normal</v>
      </c>
    </row>
    <row r="468" spans="1:16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  <c r="O468" t="str">
        <f t="shared" si="7"/>
        <v>FREESHIP</v>
      </c>
      <c r="P468" t="str">
        <f>IF(OR(N468&lt;EDA!$H$1,N468&gt;EDA!$H$2),"Outlier","Normal")</f>
        <v>Normal</v>
      </c>
    </row>
    <row r="469" spans="1:16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  <c r="O469" t="str">
        <f t="shared" si="7"/>
        <v>WINTER15</v>
      </c>
      <c r="P469" t="str">
        <f>IF(OR(N469&lt;EDA!$H$1,N469&gt;EDA!$H$2),"Outlier","Normal")</f>
        <v>Normal</v>
      </c>
    </row>
    <row r="470" spans="1:16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  <c r="O470" t="str">
        <f t="shared" si="7"/>
        <v>FREESHIP</v>
      </c>
      <c r="P470" t="str">
        <f>IF(OR(N470&lt;EDA!$H$1,N470&gt;EDA!$H$2),"Outlier","Normal")</f>
        <v>Normal</v>
      </c>
    </row>
    <row r="471" spans="1:16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5">
        <v>3384.9</v>
      </c>
      <c r="O471" t="str">
        <f t="shared" si="7"/>
        <v>No Coupon</v>
      </c>
      <c r="P471" t="str">
        <f>IF(OR(N471&lt;EDA!$H$1,N471&gt;EDA!$H$2),"Outlier","Normal")</f>
        <v>Outlier</v>
      </c>
    </row>
    <row r="472" spans="1:16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  <c r="O472" t="str">
        <f t="shared" si="7"/>
        <v>SAVE10</v>
      </c>
      <c r="P472" t="str">
        <f>IF(OR(N472&lt;EDA!$H$1,N472&gt;EDA!$H$2),"Outlier","Normal")</f>
        <v>Normal</v>
      </c>
    </row>
    <row r="473" spans="1:16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  <c r="O473" t="str">
        <f t="shared" si="7"/>
        <v>FREESHIP</v>
      </c>
      <c r="P473" t="str">
        <f>IF(OR(N473&lt;EDA!$H$1,N473&gt;EDA!$H$2),"Outlier","Normal")</f>
        <v>Normal</v>
      </c>
    </row>
    <row r="474" spans="1:16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  <c r="O474" t="str">
        <f t="shared" si="7"/>
        <v>FREESHIP</v>
      </c>
      <c r="P474" t="str">
        <f>IF(OR(N474&lt;EDA!$H$1,N474&gt;EDA!$H$2),"Outlier","Normal")</f>
        <v>Normal</v>
      </c>
    </row>
    <row r="475" spans="1:16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5">
        <v>29.86</v>
      </c>
      <c r="O475" t="str">
        <f t="shared" si="7"/>
        <v>No Coupon</v>
      </c>
      <c r="P475" t="str">
        <f>IF(OR(N475&lt;EDA!$H$1,N475&gt;EDA!$H$2),"Outlier","Normal")</f>
        <v>Normal</v>
      </c>
    </row>
    <row r="476" spans="1:16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  <c r="O476" t="str">
        <f t="shared" si="7"/>
        <v>SAVE10</v>
      </c>
      <c r="P476" t="str">
        <f>IF(OR(N476&lt;EDA!$H$1,N476&gt;EDA!$H$2),"Outlier","Normal")</f>
        <v>Normal</v>
      </c>
    </row>
    <row r="477" spans="1:16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  <c r="O477" t="str">
        <f t="shared" si="7"/>
        <v>SAVE10</v>
      </c>
      <c r="P477" t="str">
        <f>IF(OR(N477&lt;EDA!$H$1,N477&gt;EDA!$H$2),"Outlier","Normal")</f>
        <v>Normal</v>
      </c>
    </row>
    <row r="478" spans="1:16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  <c r="O478" t="str">
        <f t="shared" si="7"/>
        <v>FREESHIP</v>
      </c>
      <c r="P478" t="str">
        <f>IF(OR(N478&lt;EDA!$H$1,N478&gt;EDA!$H$2),"Outlier","Normal")</f>
        <v>Normal</v>
      </c>
    </row>
    <row r="479" spans="1:16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  <c r="O479" t="str">
        <f t="shared" si="7"/>
        <v>SAVE10</v>
      </c>
      <c r="P479" t="str">
        <f>IF(OR(N479&lt;EDA!$H$1,N479&gt;EDA!$H$2),"Outlier","Normal")</f>
        <v>Normal</v>
      </c>
    </row>
    <row r="480" spans="1:16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  <c r="O480" t="str">
        <f t="shared" si="7"/>
        <v>FREESHIP</v>
      </c>
      <c r="P480" t="str">
        <f>IF(OR(N480&lt;EDA!$H$1,N480&gt;EDA!$H$2),"Outlier","Normal")</f>
        <v>Normal</v>
      </c>
    </row>
    <row r="481" spans="1:16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5">
        <v>101.16</v>
      </c>
      <c r="O481" t="str">
        <f t="shared" si="7"/>
        <v>No Coupon</v>
      </c>
      <c r="P481" t="str">
        <f>IF(OR(N481&lt;EDA!$H$1,N481&gt;EDA!$H$2),"Outlier","Normal")</f>
        <v>Normal</v>
      </c>
    </row>
    <row r="482" spans="1:16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  <c r="O482" t="str">
        <f t="shared" si="7"/>
        <v>FREESHIP</v>
      </c>
      <c r="P482" t="str">
        <f>IF(OR(N482&lt;EDA!$H$1,N482&gt;EDA!$H$2),"Outlier","Normal")</f>
        <v>Normal</v>
      </c>
    </row>
    <row r="483" spans="1:16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  <c r="O483" t="str">
        <f t="shared" si="7"/>
        <v>WINTER15</v>
      </c>
      <c r="P483" t="str">
        <f>IF(OR(N483&lt;EDA!$H$1,N483&gt;EDA!$H$2),"Outlier","Normal")</f>
        <v>Normal</v>
      </c>
    </row>
    <row r="484" spans="1:16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5">
        <v>1144.23</v>
      </c>
      <c r="O484" t="str">
        <f t="shared" si="7"/>
        <v>No Coupon</v>
      </c>
      <c r="P484" t="str">
        <f>IF(OR(N484&lt;EDA!$H$1,N484&gt;EDA!$H$2),"Outlier","Normal")</f>
        <v>Normal</v>
      </c>
    </row>
    <row r="485" spans="1:16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  <c r="O485" t="str">
        <f t="shared" si="7"/>
        <v>WINTER15</v>
      </c>
      <c r="P485" t="str">
        <f>IF(OR(N485&lt;EDA!$H$1,N485&gt;EDA!$H$2),"Outlier","Normal")</f>
        <v>Normal</v>
      </c>
    </row>
    <row r="486" spans="1:16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5">
        <v>60.04</v>
      </c>
      <c r="O486" t="str">
        <f t="shared" si="7"/>
        <v>No Coupon</v>
      </c>
      <c r="P486" t="str">
        <f>IF(OR(N486&lt;EDA!$H$1,N486&gt;EDA!$H$2),"Outlier","Normal")</f>
        <v>Normal</v>
      </c>
    </row>
    <row r="487" spans="1:16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  <c r="O487" t="str">
        <f t="shared" si="7"/>
        <v>SAVE10</v>
      </c>
      <c r="P487" t="str">
        <f>IF(OR(N487&lt;EDA!$H$1,N487&gt;EDA!$H$2),"Outlier","Normal")</f>
        <v>Normal</v>
      </c>
    </row>
    <row r="488" spans="1:16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  <c r="O488" t="str">
        <f t="shared" si="7"/>
        <v>SAVE10</v>
      </c>
      <c r="P488" t="str">
        <f>IF(OR(N488&lt;EDA!$H$1,N488&gt;EDA!$H$2),"Outlier","Normal")</f>
        <v>Normal</v>
      </c>
    </row>
    <row r="489" spans="1:16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  <c r="O489" t="str">
        <f t="shared" si="7"/>
        <v>SAVE10</v>
      </c>
      <c r="P489" t="str">
        <f>IF(OR(N489&lt;EDA!$H$1,N489&gt;EDA!$H$2),"Outlier","Normal")</f>
        <v>Normal</v>
      </c>
    </row>
    <row r="490" spans="1:16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  <c r="O490" t="str">
        <f t="shared" si="7"/>
        <v>WINTER15</v>
      </c>
      <c r="P490" t="str">
        <f>IF(OR(N490&lt;EDA!$H$1,N490&gt;EDA!$H$2),"Outlier","Normal")</f>
        <v>Normal</v>
      </c>
    </row>
    <row r="491" spans="1:16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  <c r="O491" t="str">
        <f t="shared" si="7"/>
        <v>WINTER15</v>
      </c>
      <c r="P491" t="str">
        <f>IF(OR(N491&lt;EDA!$H$1,N491&gt;EDA!$H$2),"Outlier","Normal")</f>
        <v>Normal</v>
      </c>
    </row>
    <row r="492" spans="1:16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5">
        <v>2339.0500000000002</v>
      </c>
      <c r="O492" t="str">
        <f t="shared" si="7"/>
        <v>No Coupon</v>
      </c>
      <c r="P492" t="str">
        <f>IF(OR(N492&lt;EDA!$H$1,N492&gt;EDA!$H$2),"Outlier","Normal")</f>
        <v>Normal</v>
      </c>
    </row>
    <row r="493" spans="1:16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  <c r="O493" t="str">
        <f t="shared" si="7"/>
        <v>WINTER15</v>
      </c>
      <c r="P493" t="str">
        <f>IF(OR(N493&lt;EDA!$H$1,N493&gt;EDA!$H$2),"Outlier","Normal")</f>
        <v>Normal</v>
      </c>
    </row>
    <row r="494" spans="1:16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  <c r="O494" t="str">
        <f t="shared" si="7"/>
        <v>SAVE10</v>
      </c>
      <c r="P494" t="str">
        <f>IF(OR(N494&lt;EDA!$H$1,N494&gt;EDA!$H$2),"Outlier","Normal")</f>
        <v>Normal</v>
      </c>
    </row>
    <row r="495" spans="1:16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  <c r="O495" t="str">
        <f t="shared" si="7"/>
        <v>FREESHIP</v>
      </c>
      <c r="P495" t="str">
        <f>IF(OR(N495&lt;EDA!$H$1,N495&gt;EDA!$H$2),"Outlier","Normal")</f>
        <v>Normal</v>
      </c>
    </row>
    <row r="496" spans="1:16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  <c r="O496" t="str">
        <f t="shared" si="7"/>
        <v>FREESHIP</v>
      </c>
      <c r="P496" t="str">
        <f>IF(OR(N496&lt;EDA!$H$1,N496&gt;EDA!$H$2),"Outlier","Normal")</f>
        <v>Normal</v>
      </c>
    </row>
    <row r="497" spans="1:16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  <c r="O497" t="str">
        <f t="shared" si="7"/>
        <v>SAVE10</v>
      </c>
      <c r="P497" t="str">
        <f>IF(OR(N497&lt;EDA!$H$1,N497&gt;EDA!$H$2),"Outlier","Normal")</f>
        <v>Normal</v>
      </c>
    </row>
    <row r="498" spans="1:16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  <c r="O498" t="str">
        <f t="shared" si="7"/>
        <v>SAVE10</v>
      </c>
      <c r="P498" t="str">
        <f>IF(OR(N498&lt;EDA!$H$1,N498&gt;EDA!$H$2),"Outlier","Normal")</f>
        <v>Normal</v>
      </c>
    </row>
    <row r="499" spans="1:16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5">
        <v>336.87</v>
      </c>
      <c r="O499" t="str">
        <f t="shared" si="7"/>
        <v>No Coupon</v>
      </c>
      <c r="P499" t="str">
        <f>IF(OR(N499&lt;EDA!$H$1,N499&gt;EDA!$H$2),"Outlier","Normal")</f>
        <v>Normal</v>
      </c>
    </row>
    <row r="500" spans="1:16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  <c r="O500" t="str">
        <f t="shared" si="7"/>
        <v>WINTER15</v>
      </c>
      <c r="P500" t="str">
        <f>IF(OR(N500&lt;EDA!$H$1,N500&gt;EDA!$H$2),"Outlier","Normal")</f>
        <v>Normal</v>
      </c>
    </row>
    <row r="501" spans="1:16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  <c r="O501" t="str">
        <f t="shared" si="7"/>
        <v>SAVE10</v>
      </c>
      <c r="P501" t="str">
        <f>IF(OR(N501&lt;EDA!$H$1,N501&gt;EDA!$H$2),"Outlier","Normal")</f>
        <v>Normal</v>
      </c>
    </row>
    <row r="502" spans="1:16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  <c r="O502" t="str">
        <f t="shared" si="7"/>
        <v>WINTER15</v>
      </c>
      <c r="P502" t="str">
        <f>IF(OR(N502&lt;EDA!$H$1,N502&gt;EDA!$H$2),"Outlier","Normal")</f>
        <v>Normal</v>
      </c>
    </row>
    <row r="503" spans="1:16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  <c r="O503" t="str">
        <f t="shared" si="7"/>
        <v>SAVE10</v>
      </c>
      <c r="P503" t="str">
        <f>IF(OR(N503&lt;EDA!$H$1,N503&gt;EDA!$H$2),"Outlier","Normal")</f>
        <v>Normal</v>
      </c>
    </row>
    <row r="504" spans="1:16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  <c r="O504" t="str">
        <f t="shared" si="7"/>
        <v>SAVE10</v>
      </c>
      <c r="P504" t="str">
        <f>IF(OR(N504&lt;EDA!$H$1,N504&gt;EDA!$H$2),"Outlier","Normal")</f>
        <v>Normal</v>
      </c>
    </row>
    <row r="505" spans="1:16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  <c r="O505" t="str">
        <f t="shared" si="7"/>
        <v>FREESHIP</v>
      </c>
      <c r="P505" t="str">
        <f>IF(OR(N505&lt;EDA!$H$1,N505&gt;EDA!$H$2),"Outlier","Normal")</f>
        <v>Normal</v>
      </c>
    </row>
    <row r="506" spans="1:16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  <c r="O506" t="str">
        <f t="shared" si="7"/>
        <v>WINTER15</v>
      </c>
      <c r="P506" t="str">
        <f>IF(OR(N506&lt;EDA!$H$1,N506&gt;EDA!$H$2),"Outlier","Normal")</f>
        <v>Normal</v>
      </c>
    </row>
    <row r="507" spans="1:16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5">
        <v>869.94</v>
      </c>
      <c r="O507" t="str">
        <f t="shared" si="7"/>
        <v>No Coupon</v>
      </c>
      <c r="P507" t="str">
        <f>IF(OR(N507&lt;EDA!$H$1,N507&gt;EDA!$H$2),"Outlier","Normal")</f>
        <v>Normal</v>
      </c>
    </row>
    <row r="508" spans="1:16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  <c r="O508" t="str">
        <f t="shared" si="7"/>
        <v>WINTER15</v>
      </c>
      <c r="P508" t="str">
        <f>IF(OR(N508&lt;EDA!$H$1,N508&gt;EDA!$H$2),"Outlier","Normal")</f>
        <v>Normal</v>
      </c>
    </row>
    <row r="509" spans="1:16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  <c r="O509" t="str">
        <f t="shared" si="7"/>
        <v>WINTER15</v>
      </c>
      <c r="P509" t="str">
        <f>IF(OR(N509&lt;EDA!$H$1,N509&gt;EDA!$H$2),"Outlier","Normal")</f>
        <v>Normal</v>
      </c>
    </row>
    <row r="510" spans="1:16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5">
        <v>558.27</v>
      </c>
      <c r="O510" t="str">
        <f t="shared" si="7"/>
        <v>No Coupon</v>
      </c>
      <c r="P510" t="str">
        <f>IF(OR(N510&lt;EDA!$H$1,N510&gt;EDA!$H$2),"Outlier","Normal")</f>
        <v>Normal</v>
      </c>
    </row>
    <row r="511" spans="1:16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  <c r="O511" t="str">
        <f t="shared" si="7"/>
        <v>WINTER15</v>
      </c>
      <c r="P511" t="str">
        <f>IF(OR(N511&lt;EDA!$H$1,N511&gt;EDA!$H$2),"Outlier","Normal")</f>
        <v>Normal</v>
      </c>
    </row>
    <row r="512" spans="1:16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  <c r="O512" t="str">
        <f t="shared" si="7"/>
        <v>SAVE10</v>
      </c>
      <c r="P512" t="str">
        <f>IF(OR(N512&lt;EDA!$H$1,N512&gt;EDA!$H$2),"Outlier","Normal")</f>
        <v>Normal</v>
      </c>
    </row>
    <row r="513" spans="1:16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  <c r="O513" t="str">
        <f t="shared" si="7"/>
        <v>WINTER15</v>
      </c>
      <c r="P513" t="str">
        <f>IF(OR(N513&lt;EDA!$H$1,N513&gt;EDA!$H$2),"Outlier","Normal")</f>
        <v>Normal</v>
      </c>
    </row>
    <row r="514" spans="1:16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  <c r="O514" t="str">
        <f t="shared" si="7"/>
        <v>FREESHIP</v>
      </c>
      <c r="P514" t="str">
        <f>IF(OR(N514&lt;EDA!$H$1,N514&gt;EDA!$H$2),"Outlier","Normal")</f>
        <v>Normal</v>
      </c>
    </row>
    <row r="515" spans="1:16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5">
        <v>284.64</v>
      </c>
      <c r="O515" t="str">
        <f t="shared" ref="O515:O578" si="8">IF(L515="","No Coupon",L515)</f>
        <v>No Coupon</v>
      </c>
      <c r="P515" t="str">
        <f>IF(OR(N515&lt;EDA!$H$1,N515&gt;EDA!$H$2),"Outlier","Normal")</f>
        <v>Normal</v>
      </c>
    </row>
    <row r="516" spans="1:16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  <c r="O516" t="str">
        <f t="shared" si="8"/>
        <v>WINTER15</v>
      </c>
      <c r="P516" t="str">
        <f>IF(OR(N516&lt;EDA!$H$1,N516&gt;EDA!$H$2),"Outlier","Normal")</f>
        <v>Normal</v>
      </c>
    </row>
    <row r="517" spans="1:16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  <c r="O517" t="str">
        <f t="shared" si="8"/>
        <v>FREESHIP</v>
      </c>
      <c r="P517" t="str">
        <f>IF(OR(N517&lt;EDA!$H$1,N517&gt;EDA!$H$2),"Outlier","Normal")</f>
        <v>Normal</v>
      </c>
    </row>
    <row r="518" spans="1:16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5">
        <v>500.97</v>
      </c>
      <c r="O518" t="str">
        <f t="shared" si="8"/>
        <v>No Coupon</v>
      </c>
      <c r="P518" t="str">
        <f>IF(OR(N518&lt;EDA!$H$1,N518&gt;EDA!$H$2),"Outlier","Normal")</f>
        <v>Normal</v>
      </c>
    </row>
    <row r="519" spans="1:16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  <c r="O519" t="str">
        <f t="shared" si="8"/>
        <v>FREESHIP</v>
      </c>
      <c r="P519" t="str">
        <f>IF(OR(N519&lt;EDA!$H$1,N519&gt;EDA!$H$2),"Outlier","Normal")</f>
        <v>Normal</v>
      </c>
    </row>
    <row r="520" spans="1:16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  <c r="O520" t="str">
        <f t="shared" si="8"/>
        <v>SAVE10</v>
      </c>
      <c r="P520" t="str">
        <f>IF(OR(N520&lt;EDA!$H$1,N520&gt;EDA!$H$2),"Outlier","Normal")</f>
        <v>Normal</v>
      </c>
    </row>
    <row r="521" spans="1:16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  <c r="O521" t="str">
        <f t="shared" si="8"/>
        <v>SAVE10</v>
      </c>
      <c r="P521" t="str">
        <f>IF(OR(N521&lt;EDA!$H$1,N521&gt;EDA!$H$2),"Outlier","Normal")</f>
        <v>Normal</v>
      </c>
    </row>
    <row r="522" spans="1:16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5">
        <v>1907.94</v>
      </c>
      <c r="O522" t="str">
        <f t="shared" si="8"/>
        <v>No Coupon</v>
      </c>
      <c r="P522" t="str">
        <f>IF(OR(N522&lt;EDA!$H$1,N522&gt;EDA!$H$2),"Outlier","Normal")</f>
        <v>Normal</v>
      </c>
    </row>
    <row r="523" spans="1:16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5">
        <v>528.05999999999995</v>
      </c>
      <c r="O523" t="str">
        <f t="shared" si="8"/>
        <v>No Coupon</v>
      </c>
      <c r="P523" t="str">
        <f>IF(OR(N523&lt;EDA!$H$1,N523&gt;EDA!$H$2),"Outlier","Normal")</f>
        <v>Normal</v>
      </c>
    </row>
    <row r="524" spans="1:16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  <c r="O524" t="str">
        <f t="shared" si="8"/>
        <v>FREESHIP</v>
      </c>
      <c r="P524" t="str">
        <f>IF(OR(N524&lt;EDA!$H$1,N524&gt;EDA!$H$2),"Outlier","Normal")</f>
        <v>Normal</v>
      </c>
    </row>
    <row r="525" spans="1:16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  <c r="O525" t="str">
        <f t="shared" si="8"/>
        <v>WINTER15</v>
      </c>
      <c r="P525" t="str">
        <f>IF(OR(N525&lt;EDA!$H$1,N525&gt;EDA!$H$2),"Outlier","Normal")</f>
        <v>Normal</v>
      </c>
    </row>
    <row r="526" spans="1:16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5">
        <v>153</v>
      </c>
      <c r="O526" t="str">
        <f t="shared" si="8"/>
        <v>No Coupon</v>
      </c>
      <c r="P526" t="str">
        <f>IF(OR(N526&lt;EDA!$H$1,N526&gt;EDA!$H$2),"Outlier","Normal")</f>
        <v>Normal</v>
      </c>
    </row>
    <row r="527" spans="1:16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  <c r="O527" t="str">
        <f t="shared" si="8"/>
        <v>SAVE10</v>
      </c>
      <c r="P527" t="str">
        <f>IF(OR(N527&lt;EDA!$H$1,N527&gt;EDA!$H$2),"Outlier","Normal")</f>
        <v>Normal</v>
      </c>
    </row>
    <row r="528" spans="1:16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  <c r="O528" t="str">
        <f t="shared" si="8"/>
        <v>WINTER15</v>
      </c>
      <c r="P528" t="str">
        <f>IF(OR(N528&lt;EDA!$H$1,N528&gt;EDA!$H$2),"Outlier","Normal")</f>
        <v>Normal</v>
      </c>
    </row>
    <row r="529" spans="1:16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  <c r="O529" t="str">
        <f t="shared" si="8"/>
        <v>SAVE10</v>
      </c>
      <c r="P529" t="str">
        <f>IF(OR(N529&lt;EDA!$H$1,N529&gt;EDA!$H$2),"Outlier","Normal")</f>
        <v>Normal</v>
      </c>
    </row>
    <row r="530" spans="1:16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  <c r="O530" t="str">
        <f t="shared" si="8"/>
        <v>SAVE10</v>
      </c>
      <c r="P530" t="str">
        <f>IF(OR(N530&lt;EDA!$H$1,N530&gt;EDA!$H$2),"Outlier","Normal")</f>
        <v>Normal</v>
      </c>
    </row>
    <row r="531" spans="1:16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  <c r="O531" t="str">
        <f t="shared" si="8"/>
        <v>FREESHIP</v>
      </c>
      <c r="P531" t="str">
        <f>IF(OR(N531&lt;EDA!$H$1,N531&gt;EDA!$H$2),"Outlier","Normal")</f>
        <v>Normal</v>
      </c>
    </row>
    <row r="532" spans="1:16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5">
        <v>357.64</v>
      </c>
      <c r="O532" t="str">
        <f t="shared" si="8"/>
        <v>No Coupon</v>
      </c>
      <c r="P532" t="str">
        <f>IF(OR(N532&lt;EDA!$H$1,N532&gt;EDA!$H$2),"Outlier","Normal")</f>
        <v>Normal</v>
      </c>
    </row>
    <row r="533" spans="1:16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5">
        <v>1600.05</v>
      </c>
      <c r="O533" t="str">
        <f t="shared" si="8"/>
        <v>No Coupon</v>
      </c>
      <c r="P533" t="str">
        <f>IF(OR(N533&lt;EDA!$H$1,N533&gt;EDA!$H$2),"Outlier","Normal")</f>
        <v>Normal</v>
      </c>
    </row>
    <row r="534" spans="1:16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5">
        <v>82</v>
      </c>
      <c r="O534" t="str">
        <f t="shared" si="8"/>
        <v>No Coupon</v>
      </c>
      <c r="P534" t="str">
        <f>IF(OR(N534&lt;EDA!$H$1,N534&gt;EDA!$H$2),"Outlier","Normal")</f>
        <v>Normal</v>
      </c>
    </row>
    <row r="535" spans="1:16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  <c r="O535" t="str">
        <f t="shared" si="8"/>
        <v>FREESHIP</v>
      </c>
      <c r="P535" t="str">
        <f>IF(OR(N535&lt;EDA!$H$1,N535&gt;EDA!$H$2),"Outlier","Normal")</f>
        <v>Normal</v>
      </c>
    </row>
    <row r="536" spans="1:16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  <c r="O536" t="str">
        <f t="shared" si="8"/>
        <v>SAVE10</v>
      </c>
      <c r="P536" t="str">
        <f>IF(OR(N536&lt;EDA!$H$1,N536&gt;EDA!$H$2),"Outlier","Normal")</f>
        <v>Normal</v>
      </c>
    </row>
    <row r="537" spans="1:16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  <c r="O537" t="str">
        <f t="shared" si="8"/>
        <v>FREESHIP</v>
      </c>
      <c r="P537" t="str">
        <f>IF(OR(N537&lt;EDA!$H$1,N537&gt;EDA!$H$2),"Outlier","Normal")</f>
        <v>Normal</v>
      </c>
    </row>
    <row r="538" spans="1:16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5">
        <v>616.1</v>
      </c>
      <c r="O538" t="str">
        <f t="shared" si="8"/>
        <v>No Coupon</v>
      </c>
      <c r="P538" t="str">
        <f>IF(OR(N538&lt;EDA!$H$1,N538&gt;EDA!$H$2),"Outlier","Normal")</f>
        <v>Normal</v>
      </c>
    </row>
    <row r="539" spans="1:16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  <c r="O539" t="str">
        <f t="shared" si="8"/>
        <v>SAVE10</v>
      </c>
      <c r="P539" t="str">
        <f>IF(OR(N539&lt;EDA!$H$1,N539&gt;EDA!$H$2),"Outlier","Normal")</f>
        <v>Normal</v>
      </c>
    </row>
    <row r="540" spans="1:16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  <c r="O540" t="str">
        <f t="shared" si="8"/>
        <v>WINTER15</v>
      </c>
      <c r="P540" t="str">
        <f>IF(OR(N540&lt;EDA!$H$1,N540&gt;EDA!$H$2),"Outlier","Normal")</f>
        <v>Normal</v>
      </c>
    </row>
    <row r="541" spans="1:16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  <c r="O541" t="str">
        <f t="shared" si="8"/>
        <v>SAVE10</v>
      </c>
      <c r="P541" t="str">
        <f>IF(OR(N541&lt;EDA!$H$1,N541&gt;EDA!$H$2),"Outlier","Normal")</f>
        <v>Normal</v>
      </c>
    </row>
    <row r="542" spans="1:16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5">
        <v>3243.25</v>
      </c>
      <c r="O542" t="str">
        <f t="shared" si="8"/>
        <v>No Coupon</v>
      </c>
      <c r="P542" t="str">
        <f>IF(OR(N542&lt;EDA!$H$1,N542&gt;EDA!$H$2),"Outlier","Normal")</f>
        <v>Normal</v>
      </c>
    </row>
    <row r="543" spans="1:16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5">
        <v>2280.3000000000002</v>
      </c>
      <c r="O543" t="str">
        <f t="shared" si="8"/>
        <v>No Coupon</v>
      </c>
      <c r="P543" t="str">
        <f>IF(OR(N543&lt;EDA!$H$1,N543&gt;EDA!$H$2),"Outlier","Normal")</f>
        <v>Normal</v>
      </c>
    </row>
    <row r="544" spans="1:16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  <c r="O544" t="str">
        <f t="shared" si="8"/>
        <v>FREESHIP</v>
      </c>
      <c r="P544" t="str">
        <f>IF(OR(N544&lt;EDA!$H$1,N544&gt;EDA!$H$2),"Outlier","Normal")</f>
        <v>Normal</v>
      </c>
    </row>
    <row r="545" spans="1:16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  <c r="O545" t="str">
        <f t="shared" si="8"/>
        <v>WINTER15</v>
      </c>
      <c r="P545" t="str">
        <f>IF(OR(N545&lt;EDA!$H$1,N545&gt;EDA!$H$2),"Outlier","Normal")</f>
        <v>Normal</v>
      </c>
    </row>
    <row r="546" spans="1:16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  <c r="O546" t="str">
        <f t="shared" si="8"/>
        <v>FREESHIP</v>
      </c>
      <c r="P546" t="str">
        <f>IF(OR(N546&lt;EDA!$H$1,N546&gt;EDA!$H$2),"Outlier","Normal")</f>
        <v>Normal</v>
      </c>
    </row>
    <row r="547" spans="1:16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5">
        <v>196.94</v>
      </c>
      <c r="O547" t="str">
        <f t="shared" si="8"/>
        <v>No Coupon</v>
      </c>
      <c r="P547" t="str">
        <f>IF(OR(N547&lt;EDA!$H$1,N547&gt;EDA!$H$2),"Outlier","Normal")</f>
        <v>Normal</v>
      </c>
    </row>
    <row r="548" spans="1:16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  <c r="O548" t="str">
        <f t="shared" si="8"/>
        <v>WINTER15</v>
      </c>
      <c r="P548" t="str">
        <f>IF(OR(N548&lt;EDA!$H$1,N548&gt;EDA!$H$2),"Outlier","Normal")</f>
        <v>Normal</v>
      </c>
    </row>
    <row r="549" spans="1:16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  <c r="O549" t="str">
        <f t="shared" si="8"/>
        <v>FREESHIP</v>
      </c>
      <c r="P549" t="str">
        <f>IF(OR(N549&lt;EDA!$H$1,N549&gt;EDA!$H$2),"Outlier","Normal")</f>
        <v>Normal</v>
      </c>
    </row>
    <row r="550" spans="1:16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  <c r="O550" t="str">
        <f t="shared" si="8"/>
        <v>WINTER15</v>
      </c>
      <c r="P550" t="str">
        <f>IF(OR(N550&lt;EDA!$H$1,N550&gt;EDA!$H$2),"Outlier","Normal")</f>
        <v>Normal</v>
      </c>
    </row>
    <row r="551" spans="1:16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  <c r="O551" t="str">
        <f t="shared" si="8"/>
        <v>WINTER15</v>
      </c>
      <c r="P551" t="str">
        <f>IF(OR(N551&lt;EDA!$H$1,N551&gt;EDA!$H$2),"Outlier","Normal")</f>
        <v>Normal</v>
      </c>
    </row>
    <row r="552" spans="1:16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  <c r="O552" t="str">
        <f t="shared" si="8"/>
        <v>FREESHIP</v>
      </c>
      <c r="P552" t="str">
        <f>IF(OR(N552&lt;EDA!$H$1,N552&gt;EDA!$H$2),"Outlier","Normal")</f>
        <v>Normal</v>
      </c>
    </row>
    <row r="553" spans="1:16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  <c r="O553" t="str">
        <f t="shared" si="8"/>
        <v>WINTER15</v>
      </c>
      <c r="P553" t="str">
        <f>IF(OR(N553&lt;EDA!$H$1,N553&gt;EDA!$H$2),"Outlier","Normal")</f>
        <v>Normal</v>
      </c>
    </row>
    <row r="554" spans="1:16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  <c r="O554" t="str">
        <f t="shared" si="8"/>
        <v>WINTER15</v>
      </c>
      <c r="P554" t="str">
        <f>IF(OR(N554&lt;EDA!$H$1,N554&gt;EDA!$H$2),"Outlier","Normal")</f>
        <v>Normal</v>
      </c>
    </row>
    <row r="555" spans="1:16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  <c r="O555" t="str">
        <f t="shared" si="8"/>
        <v>FREESHIP</v>
      </c>
      <c r="P555" t="str">
        <f>IF(OR(N555&lt;EDA!$H$1,N555&gt;EDA!$H$2),"Outlier","Normal")</f>
        <v>Normal</v>
      </c>
    </row>
    <row r="556" spans="1:16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  <c r="O556" t="str">
        <f t="shared" si="8"/>
        <v>FREESHIP</v>
      </c>
      <c r="P556" t="str">
        <f>IF(OR(N556&lt;EDA!$H$1,N556&gt;EDA!$H$2),"Outlier","Normal")</f>
        <v>Normal</v>
      </c>
    </row>
    <row r="557" spans="1:16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5">
        <v>92.04</v>
      </c>
      <c r="O557" t="str">
        <f t="shared" si="8"/>
        <v>No Coupon</v>
      </c>
      <c r="P557" t="str">
        <f>IF(OR(N557&lt;EDA!$H$1,N557&gt;EDA!$H$2),"Outlier","Normal")</f>
        <v>Normal</v>
      </c>
    </row>
    <row r="558" spans="1:16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  <c r="O558" t="str">
        <f t="shared" si="8"/>
        <v>SAVE10</v>
      </c>
      <c r="P558" t="str">
        <f>IF(OR(N558&lt;EDA!$H$1,N558&gt;EDA!$H$2),"Outlier","Normal")</f>
        <v>Normal</v>
      </c>
    </row>
    <row r="559" spans="1:16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  <c r="O559" t="str">
        <f t="shared" si="8"/>
        <v>WINTER15</v>
      </c>
      <c r="P559" t="str">
        <f>IF(OR(N559&lt;EDA!$H$1,N559&gt;EDA!$H$2),"Outlier","Normal")</f>
        <v>Normal</v>
      </c>
    </row>
    <row r="560" spans="1:16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  <c r="O560" t="str">
        <f t="shared" si="8"/>
        <v>WINTER15</v>
      </c>
      <c r="P560" t="str">
        <f>IF(OR(N560&lt;EDA!$H$1,N560&gt;EDA!$H$2),"Outlier","Normal")</f>
        <v>Normal</v>
      </c>
    </row>
    <row r="561" spans="1:16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  <c r="O561" t="str">
        <f t="shared" si="8"/>
        <v>WINTER15</v>
      </c>
      <c r="P561" t="str">
        <f>IF(OR(N561&lt;EDA!$H$1,N561&gt;EDA!$H$2),"Outlier","Normal")</f>
        <v>Normal</v>
      </c>
    </row>
    <row r="562" spans="1:16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5">
        <v>2355.4</v>
      </c>
      <c r="O562" t="str">
        <f t="shared" si="8"/>
        <v>No Coupon</v>
      </c>
      <c r="P562" t="str">
        <f>IF(OR(N562&lt;EDA!$H$1,N562&gt;EDA!$H$2),"Outlier","Normal")</f>
        <v>Normal</v>
      </c>
    </row>
    <row r="563" spans="1:16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5">
        <v>989.56</v>
      </c>
      <c r="O563" t="str">
        <f t="shared" si="8"/>
        <v>No Coupon</v>
      </c>
      <c r="P563" t="str">
        <f>IF(OR(N563&lt;EDA!$H$1,N563&gt;EDA!$H$2),"Outlier","Normal")</f>
        <v>Normal</v>
      </c>
    </row>
    <row r="564" spans="1:16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  <c r="O564" t="str">
        <f t="shared" si="8"/>
        <v>FREESHIP</v>
      </c>
      <c r="P564" t="str">
        <f>IF(OR(N564&lt;EDA!$H$1,N564&gt;EDA!$H$2),"Outlier","Normal")</f>
        <v>Normal</v>
      </c>
    </row>
    <row r="565" spans="1:16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  <c r="O565" t="str">
        <f t="shared" si="8"/>
        <v>SAVE10</v>
      </c>
      <c r="P565" t="str">
        <f>IF(OR(N565&lt;EDA!$H$1,N565&gt;EDA!$H$2),"Outlier","Normal")</f>
        <v>Normal</v>
      </c>
    </row>
    <row r="566" spans="1:16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  <c r="O566" t="str">
        <f t="shared" si="8"/>
        <v>WINTER15</v>
      </c>
      <c r="P566" t="str">
        <f>IF(OR(N566&lt;EDA!$H$1,N566&gt;EDA!$H$2),"Outlier","Normal")</f>
        <v>Normal</v>
      </c>
    </row>
    <row r="567" spans="1:16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5">
        <v>1539.9</v>
      </c>
      <c r="O567" t="str">
        <f t="shared" si="8"/>
        <v>No Coupon</v>
      </c>
      <c r="P567" t="str">
        <f>IF(OR(N567&lt;EDA!$H$1,N567&gt;EDA!$H$2),"Outlier","Normal")</f>
        <v>Normal</v>
      </c>
    </row>
    <row r="568" spans="1:16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  <c r="O568" t="str">
        <f t="shared" si="8"/>
        <v>FREESHIP</v>
      </c>
      <c r="P568" t="str">
        <f>IF(OR(N568&lt;EDA!$H$1,N568&gt;EDA!$H$2),"Outlier","Normal")</f>
        <v>Normal</v>
      </c>
    </row>
    <row r="569" spans="1:16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  <c r="O569" t="str">
        <f t="shared" si="8"/>
        <v>FREESHIP</v>
      </c>
      <c r="P569" t="str">
        <f>IF(OR(N569&lt;EDA!$H$1,N569&gt;EDA!$H$2),"Outlier","Normal")</f>
        <v>Normal</v>
      </c>
    </row>
    <row r="570" spans="1:16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5">
        <v>687.98</v>
      </c>
      <c r="O570" t="str">
        <f t="shared" si="8"/>
        <v>No Coupon</v>
      </c>
      <c r="P570" t="str">
        <f>IF(OR(N570&lt;EDA!$H$1,N570&gt;EDA!$H$2),"Outlier","Normal")</f>
        <v>Normal</v>
      </c>
    </row>
    <row r="571" spans="1:16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  <c r="O571" t="str">
        <f t="shared" si="8"/>
        <v>SAVE10</v>
      </c>
      <c r="P571" t="str">
        <f>IF(OR(N571&lt;EDA!$H$1,N571&gt;EDA!$H$2),"Outlier","Normal")</f>
        <v>Normal</v>
      </c>
    </row>
    <row r="572" spans="1:16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  <c r="O572" t="str">
        <f t="shared" si="8"/>
        <v>SAVE10</v>
      </c>
      <c r="P572" t="str">
        <f>IF(OR(N572&lt;EDA!$H$1,N572&gt;EDA!$H$2),"Outlier","Normal")</f>
        <v>Normal</v>
      </c>
    </row>
    <row r="573" spans="1:16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  <c r="O573" t="str">
        <f t="shared" si="8"/>
        <v>WINTER15</v>
      </c>
      <c r="P573" t="str">
        <f>IF(OR(N573&lt;EDA!$H$1,N573&gt;EDA!$H$2),"Outlier","Normal")</f>
        <v>Normal</v>
      </c>
    </row>
    <row r="574" spans="1:16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  <c r="O574" t="str">
        <f t="shared" si="8"/>
        <v>WINTER15</v>
      </c>
      <c r="P574" t="str">
        <f>IF(OR(N574&lt;EDA!$H$1,N574&gt;EDA!$H$2),"Outlier","Normal")</f>
        <v>Normal</v>
      </c>
    </row>
    <row r="575" spans="1:16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5">
        <v>2107.1</v>
      </c>
      <c r="O575" t="str">
        <f t="shared" si="8"/>
        <v>No Coupon</v>
      </c>
      <c r="P575" t="str">
        <f>IF(OR(N575&lt;EDA!$H$1,N575&gt;EDA!$H$2),"Outlier","Normal")</f>
        <v>Normal</v>
      </c>
    </row>
    <row r="576" spans="1:16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  <c r="O576" t="str">
        <f t="shared" si="8"/>
        <v>FREESHIP</v>
      </c>
      <c r="P576" t="str">
        <f>IF(OR(N576&lt;EDA!$H$1,N576&gt;EDA!$H$2),"Outlier","Normal")</f>
        <v>Normal</v>
      </c>
    </row>
    <row r="577" spans="1:16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  <c r="O577" t="str">
        <f t="shared" si="8"/>
        <v>SAVE10</v>
      </c>
      <c r="P577" t="str">
        <f>IF(OR(N577&lt;EDA!$H$1,N577&gt;EDA!$H$2),"Outlier","Normal")</f>
        <v>Normal</v>
      </c>
    </row>
    <row r="578" spans="1:16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5">
        <v>395.4</v>
      </c>
      <c r="O578" t="str">
        <f t="shared" si="8"/>
        <v>No Coupon</v>
      </c>
      <c r="P578" t="str">
        <f>IF(OR(N578&lt;EDA!$H$1,N578&gt;EDA!$H$2),"Outlier","Normal")</f>
        <v>Normal</v>
      </c>
    </row>
    <row r="579" spans="1:16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  <c r="O579" t="str">
        <f t="shared" ref="O579:O642" si="9">IF(L579="","No Coupon",L579)</f>
        <v>WINTER15</v>
      </c>
      <c r="P579" t="str">
        <f>IF(OR(N579&lt;EDA!$H$1,N579&gt;EDA!$H$2),"Outlier","Normal")</f>
        <v>Normal</v>
      </c>
    </row>
    <row r="580" spans="1:16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  <c r="O580" t="str">
        <f t="shared" si="9"/>
        <v>SAVE10</v>
      </c>
      <c r="P580" t="str">
        <f>IF(OR(N580&lt;EDA!$H$1,N580&gt;EDA!$H$2),"Outlier","Normal")</f>
        <v>Normal</v>
      </c>
    </row>
    <row r="581" spans="1:16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  <c r="O581" t="str">
        <f t="shared" si="9"/>
        <v>WINTER15</v>
      </c>
      <c r="P581" t="str">
        <f>IF(OR(N581&lt;EDA!$H$1,N581&gt;EDA!$H$2),"Outlier","Normal")</f>
        <v>Normal</v>
      </c>
    </row>
    <row r="582" spans="1:16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  <c r="O582" t="str">
        <f t="shared" si="9"/>
        <v>SAVE10</v>
      </c>
      <c r="P582" t="str">
        <f>IF(OR(N582&lt;EDA!$H$1,N582&gt;EDA!$H$2),"Outlier","Normal")</f>
        <v>Normal</v>
      </c>
    </row>
    <row r="583" spans="1:16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5">
        <v>627.34</v>
      </c>
      <c r="O583" t="str">
        <f t="shared" si="9"/>
        <v>No Coupon</v>
      </c>
      <c r="P583" t="str">
        <f>IF(OR(N583&lt;EDA!$H$1,N583&gt;EDA!$H$2),"Outlier","Normal")</f>
        <v>Normal</v>
      </c>
    </row>
    <row r="584" spans="1:16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  <c r="O584" t="str">
        <f t="shared" si="9"/>
        <v>WINTER15</v>
      </c>
      <c r="P584" t="str">
        <f>IF(OR(N584&lt;EDA!$H$1,N584&gt;EDA!$H$2),"Outlier","Normal")</f>
        <v>Normal</v>
      </c>
    </row>
    <row r="585" spans="1:16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5">
        <v>463.11</v>
      </c>
      <c r="O585" t="str">
        <f t="shared" si="9"/>
        <v>No Coupon</v>
      </c>
      <c r="P585" t="str">
        <f>IF(OR(N585&lt;EDA!$H$1,N585&gt;EDA!$H$2),"Outlier","Normal")</f>
        <v>Normal</v>
      </c>
    </row>
    <row r="586" spans="1:16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  <c r="O586" t="str">
        <f t="shared" si="9"/>
        <v>SAVE10</v>
      </c>
      <c r="P586" t="str">
        <f>IF(OR(N586&lt;EDA!$H$1,N586&gt;EDA!$H$2),"Outlier","Normal")</f>
        <v>Normal</v>
      </c>
    </row>
    <row r="587" spans="1:16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  <c r="O587" t="str">
        <f t="shared" si="9"/>
        <v>WINTER15</v>
      </c>
      <c r="P587" t="str">
        <f>IF(OR(N587&lt;EDA!$H$1,N587&gt;EDA!$H$2),"Outlier","Normal")</f>
        <v>Normal</v>
      </c>
    </row>
    <row r="588" spans="1:16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  <c r="O588" t="str">
        <f t="shared" si="9"/>
        <v>FREESHIP</v>
      </c>
      <c r="P588" t="str">
        <f>IF(OR(N588&lt;EDA!$H$1,N588&gt;EDA!$H$2),"Outlier","Normal")</f>
        <v>Normal</v>
      </c>
    </row>
    <row r="589" spans="1:16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  <c r="O589" t="str">
        <f t="shared" si="9"/>
        <v>FREESHIP</v>
      </c>
      <c r="P589" t="str">
        <f>IF(OR(N589&lt;EDA!$H$1,N589&gt;EDA!$H$2),"Outlier","Normal")</f>
        <v>Normal</v>
      </c>
    </row>
    <row r="590" spans="1:16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5">
        <v>2311.2800000000002</v>
      </c>
      <c r="O590" t="str">
        <f t="shared" si="9"/>
        <v>No Coupon</v>
      </c>
      <c r="P590" t="str">
        <f>IF(OR(N590&lt;EDA!$H$1,N590&gt;EDA!$H$2),"Outlier","Normal")</f>
        <v>Normal</v>
      </c>
    </row>
    <row r="591" spans="1:16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  <c r="O591" t="str">
        <f t="shared" si="9"/>
        <v>FREESHIP</v>
      </c>
      <c r="P591" t="str">
        <f>IF(OR(N591&lt;EDA!$H$1,N591&gt;EDA!$H$2),"Outlier","Normal")</f>
        <v>Normal</v>
      </c>
    </row>
    <row r="592" spans="1:16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5">
        <v>922.26</v>
      </c>
      <c r="O592" t="str">
        <f t="shared" si="9"/>
        <v>No Coupon</v>
      </c>
      <c r="P592" t="str">
        <f>IF(OR(N592&lt;EDA!$H$1,N592&gt;EDA!$H$2),"Outlier","Normal")</f>
        <v>Normal</v>
      </c>
    </row>
    <row r="593" spans="1:16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  <c r="O593" t="str">
        <f t="shared" si="9"/>
        <v>FREESHIP</v>
      </c>
      <c r="P593" t="str">
        <f>IF(OR(N593&lt;EDA!$H$1,N593&gt;EDA!$H$2),"Outlier","Normal")</f>
        <v>Normal</v>
      </c>
    </row>
    <row r="594" spans="1:16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5">
        <v>612.81000000000006</v>
      </c>
      <c r="O594" t="str">
        <f t="shared" si="9"/>
        <v>No Coupon</v>
      </c>
      <c r="P594" t="str">
        <f>IF(OR(N594&lt;EDA!$H$1,N594&gt;EDA!$H$2),"Outlier","Normal")</f>
        <v>Normal</v>
      </c>
    </row>
    <row r="595" spans="1:16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  <c r="O595" t="str">
        <f t="shared" si="9"/>
        <v>FREESHIP</v>
      </c>
      <c r="P595" t="str">
        <f>IF(OR(N595&lt;EDA!$H$1,N595&gt;EDA!$H$2),"Outlier","Normal")</f>
        <v>Normal</v>
      </c>
    </row>
    <row r="596" spans="1:16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5">
        <v>363.2</v>
      </c>
      <c r="O596" t="str">
        <f t="shared" si="9"/>
        <v>No Coupon</v>
      </c>
      <c r="P596" t="str">
        <f>IF(OR(N596&lt;EDA!$H$1,N596&gt;EDA!$H$2),"Outlier","Normal")</f>
        <v>Normal</v>
      </c>
    </row>
    <row r="597" spans="1:16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  <c r="O597" t="str">
        <f t="shared" si="9"/>
        <v>SAVE10</v>
      </c>
      <c r="P597" t="str">
        <f>IF(OR(N597&lt;EDA!$H$1,N597&gt;EDA!$H$2),"Outlier","Normal")</f>
        <v>Normal</v>
      </c>
    </row>
    <row r="598" spans="1:16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  <c r="O598" t="str">
        <f t="shared" si="9"/>
        <v>FREESHIP</v>
      </c>
      <c r="P598" t="str">
        <f>IF(OR(N598&lt;EDA!$H$1,N598&gt;EDA!$H$2),"Outlier","Normal")</f>
        <v>Normal</v>
      </c>
    </row>
    <row r="599" spans="1:16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  <c r="O599" t="str">
        <f t="shared" si="9"/>
        <v>WINTER15</v>
      </c>
      <c r="P599" t="str">
        <f>IF(OR(N599&lt;EDA!$H$1,N599&gt;EDA!$H$2),"Outlier","Normal")</f>
        <v>Normal</v>
      </c>
    </row>
    <row r="600" spans="1:16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5">
        <v>2476.75</v>
      </c>
      <c r="O600" t="str">
        <f t="shared" si="9"/>
        <v>No Coupon</v>
      </c>
      <c r="P600" t="str">
        <f>IF(OR(N600&lt;EDA!$H$1,N600&gt;EDA!$H$2),"Outlier","Normal")</f>
        <v>Normal</v>
      </c>
    </row>
    <row r="601" spans="1:16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  <c r="O601" t="str">
        <f t="shared" si="9"/>
        <v>FREESHIP</v>
      </c>
      <c r="P601" t="str">
        <f>IF(OR(N601&lt;EDA!$H$1,N601&gt;EDA!$H$2),"Outlier","Normal")</f>
        <v>Normal</v>
      </c>
    </row>
    <row r="602" spans="1:16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  <c r="O602" t="str">
        <f t="shared" si="9"/>
        <v>FREESHIP</v>
      </c>
      <c r="P602" t="str">
        <f>IF(OR(N602&lt;EDA!$H$1,N602&gt;EDA!$H$2),"Outlier","Normal")</f>
        <v>Normal</v>
      </c>
    </row>
    <row r="603" spans="1:16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5">
        <v>124.1</v>
      </c>
      <c r="O603" t="str">
        <f t="shared" si="9"/>
        <v>No Coupon</v>
      </c>
      <c r="P603" t="str">
        <f>IF(OR(N603&lt;EDA!$H$1,N603&gt;EDA!$H$2),"Outlier","Normal")</f>
        <v>Normal</v>
      </c>
    </row>
    <row r="604" spans="1:16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  <c r="O604" t="str">
        <f t="shared" si="9"/>
        <v>SAVE10</v>
      </c>
      <c r="P604" t="str">
        <f>IF(OR(N604&lt;EDA!$H$1,N604&gt;EDA!$H$2),"Outlier","Normal")</f>
        <v>Normal</v>
      </c>
    </row>
    <row r="605" spans="1:16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  <c r="O605" t="str">
        <f t="shared" si="9"/>
        <v>SAVE10</v>
      </c>
      <c r="P605" t="str">
        <f>IF(OR(N605&lt;EDA!$H$1,N605&gt;EDA!$H$2),"Outlier","Normal")</f>
        <v>Normal</v>
      </c>
    </row>
    <row r="606" spans="1:16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5">
        <v>97.859999999999985</v>
      </c>
      <c r="O606" t="str">
        <f t="shared" si="9"/>
        <v>No Coupon</v>
      </c>
      <c r="P606" t="str">
        <f>IF(OR(N606&lt;EDA!$H$1,N606&gt;EDA!$H$2),"Outlier","Normal")</f>
        <v>Normal</v>
      </c>
    </row>
    <row r="607" spans="1:16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  <c r="O607" t="str">
        <f t="shared" si="9"/>
        <v>SAVE10</v>
      </c>
      <c r="P607" t="str">
        <f>IF(OR(N607&lt;EDA!$H$1,N607&gt;EDA!$H$2),"Outlier","Normal")</f>
        <v>Normal</v>
      </c>
    </row>
    <row r="608" spans="1:16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  <c r="O608" t="str">
        <f t="shared" si="9"/>
        <v>SAVE10</v>
      </c>
      <c r="P608" t="str">
        <f>IF(OR(N608&lt;EDA!$H$1,N608&gt;EDA!$H$2),"Outlier","Normal")</f>
        <v>Normal</v>
      </c>
    </row>
    <row r="609" spans="1:16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  <c r="O609" t="str">
        <f t="shared" si="9"/>
        <v>SAVE10</v>
      </c>
      <c r="P609" t="str">
        <f>IF(OR(N609&lt;EDA!$H$1,N609&gt;EDA!$H$2),"Outlier","Normal")</f>
        <v>Normal</v>
      </c>
    </row>
    <row r="610" spans="1:16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  <c r="O610" t="str">
        <f t="shared" si="9"/>
        <v>SAVE10</v>
      </c>
      <c r="P610" t="str">
        <f>IF(OR(N610&lt;EDA!$H$1,N610&gt;EDA!$H$2),"Outlier","Normal")</f>
        <v>Normal</v>
      </c>
    </row>
    <row r="611" spans="1:16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  <c r="O611" t="str">
        <f t="shared" si="9"/>
        <v>WINTER15</v>
      </c>
      <c r="P611" t="str">
        <f>IF(OR(N611&lt;EDA!$H$1,N611&gt;EDA!$H$2),"Outlier","Normal")</f>
        <v>Normal</v>
      </c>
    </row>
    <row r="612" spans="1:16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  <c r="O612" t="str">
        <f t="shared" si="9"/>
        <v>FREESHIP</v>
      </c>
      <c r="P612" t="str">
        <f>IF(OR(N612&lt;EDA!$H$1,N612&gt;EDA!$H$2),"Outlier","Normal")</f>
        <v>Normal</v>
      </c>
    </row>
    <row r="613" spans="1:16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  <c r="O613" t="str">
        <f t="shared" si="9"/>
        <v>WINTER15</v>
      </c>
      <c r="P613" t="str">
        <f>IF(OR(N613&lt;EDA!$H$1,N613&gt;EDA!$H$2),"Outlier","Normal")</f>
        <v>Normal</v>
      </c>
    </row>
    <row r="614" spans="1:16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5">
        <v>1335.36</v>
      </c>
      <c r="O614" t="str">
        <f t="shared" si="9"/>
        <v>No Coupon</v>
      </c>
      <c r="P614" t="str">
        <f>IF(OR(N614&lt;EDA!$H$1,N614&gt;EDA!$H$2),"Outlier","Normal")</f>
        <v>Normal</v>
      </c>
    </row>
    <row r="615" spans="1:16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  <c r="O615" t="str">
        <f t="shared" si="9"/>
        <v>WINTER15</v>
      </c>
      <c r="P615" t="str">
        <f>IF(OR(N615&lt;EDA!$H$1,N615&gt;EDA!$H$2),"Outlier","Normal")</f>
        <v>Normal</v>
      </c>
    </row>
    <row r="616" spans="1:16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5">
        <v>96.81</v>
      </c>
      <c r="O616" t="str">
        <f t="shared" si="9"/>
        <v>No Coupon</v>
      </c>
      <c r="P616" t="str">
        <f>IF(OR(N616&lt;EDA!$H$1,N616&gt;EDA!$H$2),"Outlier","Normal")</f>
        <v>Normal</v>
      </c>
    </row>
    <row r="617" spans="1:16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  <c r="O617" t="str">
        <f t="shared" si="9"/>
        <v>WINTER15</v>
      </c>
      <c r="P617" t="str">
        <f>IF(OR(N617&lt;EDA!$H$1,N617&gt;EDA!$H$2),"Outlier","Normal")</f>
        <v>Normal</v>
      </c>
    </row>
    <row r="618" spans="1:16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  <c r="O618" t="str">
        <f t="shared" si="9"/>
        <v>SAVE10</v>
      </c>
      <c r="P618" t="str">
        <f>IF(OR(N618&lt;EDA!$H$1,N618&gt;EDA!$H$2),"Outlier","Normal")</f>
        <v>Normal</v>
      </c>
    </row>
    <row r="619" spans="1:16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5">
        <v>553.41</v>
      </c>
      <c r="O619" t="str">
        <f t="shared" si="9"/>
        <v>No Coupon</v>
      </c>
      <c r="P619" t="str">
        <f>IF(OR(N619&lt;EDA!$H$1,N619&gt;EDA!$H$2),"Outlier","Normal")</f>
        <v>Normal</v>
      </c>
    </row>
    <row r="620" spans="1:16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5">
        <v>411.34</v>
      </c>
      <c r="O620" t="str">
        <f t="shared" si="9"/>
        <v>No Coupon</v>
      </c>
      <c r="P620" t="str">
        <f>IF(OR(N620&lt;EDA!$H$1,N620&gt;EDA!$H$2),"Outlier","Normal")</f>
        <v>Normal</v>
      </c>
    </row>
    <row r="621" spans="1:16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5">
        <v>532.89</v>
      </c>
      <c r="O621" t="str">
        <f t="shared" si="9"/>
        <v>No Coupon</v>
      </c>
      <c r="P621" t="str">
        <f>IF(OR(N621&lt;EDA!$H$1,N621&gt;EDA!$H$2),"Outlier","Normal")</f>
        <v>Normal</v>
      </c>
    </row>
    <row r="622" spans="1:16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  <c r="O622" t="str">
        <f t="shared" si="9"/>
        <v>SAVE10</v>
      </c>
      <c r="P622" t="str">
        <f>IF(OR(N622&lt;EDA!$H$1,N622&gt;EDA!$H$2),"Outlier","Normal")</f>
        <v>Normal</v>
      </c>
    </row>
    <row r="623" spans="1:16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  <c r="O623" t="str">
        <f t="shared" si="9"/>
        <v>WINTER15</v>
      </c>
      <c r="P623" t="str">
        <f>IF(OR(N623&lt;EDA!$H$1,N623&gt;EDA!$H$2),"Outlier","Normal")</f>
        <v>Normal</v>
      </c>
    </row>
    <row r="624" spans="1:16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5">
        <v>1181.9000000000001</v>
      </c>
      <c r="O624" t="str">
        <f t="shared" si="9"/>
        <v>No Coupon</v>
      </c>
      <c r="P624" t="str">
        <f>IF(OR(N624&lt;EDA!$H$1,N624&gt;EDA!$H$2),"Outlier","Normal")</f>
        <v>Normal</v>
      </c>
    </row>
    <row r="625" spans="1:16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  <c r="O625" t="str">
        <f t="shared" si="9"/>
        <v>FREESHIP</v>
      </c>
      <c r="P625" t="str">
        <f>IF(OR(N625&lt;EDA!$H$1,N625&gt;EDA!$H$2),"Outlier","Normal")</f>
        <v>Normal</v>
      </c>
    </row>
    <row r="626" spans="1:16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5">
        <v>1709.8</v>
      </c>
      <c r="O626" t="str">
        <f t="shared" si="9"/>
        <v>No Coupon</v>
      </c>
      <c r="P626" t="str">
        <f>IF(OR(N626&lt;EDA!$H$1,N626&gt;EDA!$H$2),"Outlier","Normal")</f>
        <v>Normal</v>
      </c>
    </row>
    <row r="627" spans="1:16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  <c r="O627" t="str">
        <f t="shared" si="9"/>
        <v>WINTER15</v>
      </c>
      <c r="P627" t="str">
        <f>IF(OR(N627&lt;EDA!$H$1,N627&gt;EDA!$H$2),"Outlier","Normal")</f>
        <v>Normal</v>
      </c>
    </row>
    <row r="628" spans="1:16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  <c r="O628" t="str">
        <f t="shared" si="9"/>
        <v>SAVE10</v>
      </c>
      <c r="P628" t="str">
        <f>IF(OR(N628&lt;EDA!$H$1,N628&gt;EDA!$H$2),"Outlier","Normal")</f>
        <v>Normal</v>
      </c>
    </row>
    <row r="629" spans="1:16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  <c r="O629" t="str">
        <f t="shared" si="9"/>
        <v>FREESHIP</v>
      </c>
      <c r="P629" t="str">
        <f>IF(OR(N629&lt;EDA!$H$1,N629&gt;EDA!$H$2),"Outlier","Normal")</f>
        <v>Normal</v>
      </c>
    </row>
    <row r="630" spans="1:16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  <c r="O630" t="str">
        <f t="shared" si="9"/>
        <v>FREESHIP</v>
      </c>
      <c r="P630" t="str">
        <f>IF(OR(N630&lt;EDA!$H$1,N630&gt;EDA!$H$2),"Outlier","Normal")</f>
        <v>Normal</v>
      </c>
    </row>
    <row r="631" spans="1:16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5">
        <v>59.19</v>
      </c>
      <c r="O631" t="str">
        <f t="shared" si="9"/>
        <v>No Coupon</v>
      </c>
      <c r="P631" t="str">
        <f>IF(OR(N631&lt;EDA!$H$1,N631&gt;EDA!$H$2),"Outlier","Normal")</f>
        <v>Normal</v>
      </c>
    </row>
    <row r="632" spans="1:16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5">
        <v>1244.2</v>
      </c>
      <c r="O632" t="str">
        <f t="shared" si="9"/>
        <v>No Coupon</v>
      </c>
      <c r="P632" t="str">
        <f>IF(OR(N632&lt;EDA!$H$1,N632&gt;EDA!$H$2),"Outlier","Normal")</f>
        <v>Normal</v>
      </c>
    </row>
    <row r="633" spans="1:16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  <c r="O633" t="str">
        <f t="shared" si="9"/>
        <v>WINTER15</v>
      </c>
      <c r="P633" t="str">
        <f>IF(OR(N633&lt;EDA!$H$1,N633&gt;EDA!$H$2),"Outlier","Normal")</f>
        <v>Normal</v>
      </c>
    </row>
    <row r="634" spans="1:16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  <c r="O634" t="str">
        <f t="shared" si="9"/>
        <v>WINTER15</v>
      </c>
      <c r="P634" t="str">
        <f>IF(OR(N634&lt;EDA!$H$1,N634&gt;EDA!$H$2),"Outlier","Normal")</f>
        <v>Outlier</v>
      </c>
    </row>
    <row r="635" spans="1:16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  <c r="O635" t="str">
        <f t="shared" si="9"/>
        <v>WINTER15</v>
      </c>
      <c r="P635" t="str">
        <f>IF(OR(N635&lt;EDA!$H$1,N635&gt;EDA!$H$2),"Outlier","Normal")</f>
        <v>Normal</v>
      </c>
    </row>
    <row r="636" spans="1:16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  <c r="O636" t="str">
        <f t="shared" si="9"/>
        <v>WINTER15</v>
      </c>
      <c r="P636" t="str">
        <f>IF(OR(N636&lt;EDA!$H$1,N636&gt;EDA!$H$2),"Outlier","Normal")</f>
        <v>Normal</v>
      </c>
    </row>
    <row r="637" spans="1:16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5">
        <v>191.04</v>
      </c>
      <c r="O637" t="str">
        <f t="shared" si="9"/>
        <v>No Coupon</v>
      </c>
      <c r="P637" t="str">
        <f>IF(OR(N637&lt;EDA!$H$1,N637&gt;EDA!$H$2),"Outlier","Normal")</f>
        <v>Normal</v>
      </c>
    </row>
    <row r="638" spans="1:16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  <c r="O638" t="str">
        <f t="shared" si="9"/>
        <v>WINTER15</v>
      </c>
      <c r="P638" t="str">
        <f>IF(OR(N638&lt;EDA!$H$1,N638&gt;EDA!$H$2),"Outlier","Normal")</f>
        <v>Normal</v>
      </c>
    </row>
    <row r="639" spans="1:16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  <c r="O639" t="str">
        <f t="shared" si="9"/>
        <v>WINTER15</v>
      </c>
      <c r="P639" t="str">
        <f>IF(OR(N639&lt;EDA!$H$1,N639&gt;EDA!$H$2),"Outlier","Normal")</f>
        <v>Normal</v>
      </c>
    </row>
    <row r="640" spans="1:16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  <c r="O640" t="str">
        <f t="shared" si="9"/>
        <v>WINTER15</v>
      </c>
      <c r="P640" t="str">
        <f>IF(OR(N640&lt;EDA!$H$1,N640&gt;EDA!$H$2),"Outlier","Normal")</f>
        <v>Normal</v>
      </c>
    </row>
    <row r="641" spans="1:16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5">
        <v>529.19000000000005</v>
      </c>
      <c r="O641" t="str">
        <f t="shared" si="9"/>
        <v>No Coupon</v>
      </c>
      <c r="P641" t="str">
        <f>IF(OR(N641&lt;EDA!$H$1,N641&gt;EDA!$H$2),"Outlier","Normal")</f>
        <v>Normal</v>
      </c>
    </row>
    <row r="642" spans="1:16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  <c r="O642" t="str">
        <f t="shared" si="9"/>
        <v>SAVE10</v>
      </c>
      <c r="P642" t="str">
        <f>IF(OR(N642&lt;EDA!$H$1,N642&gt;EDA!$H$2),"Outlier","Normal")</f>
        <v>Normal</v>
      </c>
    </row>
    <row r="643" spans="1:16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  <c r="O643" t="str">
        <f t="shared" ref="O643:O706" si="10">IF(L643="","No Coupon",L643)</f>
        <v>WINTER15</v>
      </c>
      <c r="P643" t="str">
        <f>IF(OR(N643&lt;EDA!$H$1,N643&gt;EDA!$H$2),"Outlier","Normal")</f>
        <v>Normal</v>
      </c>
    </row>
    <row r="644" spans="1:16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  <c r="O644" t="str">
        <f t="shared" si="10"/>
        <v>FREESHIP</v>
      </c>
      <c r="P644" t="str">
        <f>IF(OR(N644&lt;EDA!$H$1,N644&gt;EDA!$H$2),"Outlier","Normal")</f>
        <v>Normal</v>
      </c>
    </row>
    <row r="645" spans="1:16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  <c r="O645" t="str">
        <f t="shared" si="10"/>
        <v>SAVE10</v>
      </c>
      <c r="P645" t="str">
        <f>IF(OR(N645&lt;EDA!$H$1,N645&gt;EDA!$H$2),"Outlier","Normal")</f>
        <v>Normal</v>
      </c>
    </row>
    <row r="646" spans="1:16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  <c r="O646" t="str">
        <f t="shared" si="10"/>
        <v>WINTER15</v>
      </c>
      <c r="P646" t="str">
        <f>IF(OR(N646&lt;EDA!$H$1,N646&gt;EDA!$H$2),"Outlier","Normal")</f>
        <v>Normal</v>
      </c>
    </row>
    <row r="647" spans="1:16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  <c r="O647" t="str">
        <f t="shared" si="10"/>
        <v>SAVE10</v>
      </c>
      <c r="P647" t="str">
        <f>IF(OR(N647&lt;EDA!$H$1,N647&gt;EDA!$H$2),"Outlier","Normal")</f>
        <v>Normal</v>
      </c>
    </row>
    <row r="648" spans="1:16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  <c r="O648" t="str">
        <f t="shared" si="10"/>
        <v>SAVE10</v>
      </c>
      <c r="P648" t="str">
        <f>IF(OR(N648&lt;EDA!$H$1,N648&gt;EDA!$H$2),"Outlier","Normal")</f>
        <v>Normal</v>
      </c>
    </row>
    <row r="649" spans="1:16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  <c r="O649" t="str">
        <f t="shared" si="10"/>
        <v>FREESHIP</v>
      </c>
      <c r="P649" t="str">
        <f>IF(OR(N649&lt;EDA!$H$1,N649&gt;EDA!$H$2),"Outlier","Normal")</f>
        <v>Normal</v>
      </c>
    </row>
    <row r="650" spans="1:16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  <c r="O650" t="str">
        <f t="shared" si="10"/>
        <v>WINTER15</v>
      </c>
      <c r="P650" t="str">
        <f>IF(OR(N650&lt;EDA!$H$1,N650&gt;EDA!$H$2),"Outlier","Normal")</f>
        <v>Normal</v>
      </c>
    </row>
    <row r="651" spans="1:16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  <c r="O651" t="str">
        <f t="shared" si="10"/>
        <v>FREESHIP</v>
      </c>
      <c r="P651" t="str">
        <f>IF(OR(N651&lt;EDA!$H$1,N651&gt;EDA!$H$2),"Outlier","Normal")</f>
        <v>Normal</v>
      </c>
    </row>
    <row r="652" spans="1:16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  <c r="O652" t="str">
        <f t="shared" si="10"/>
        <v>SAVE10</v>
      </c>
      <c r="P652" t="str">
        <f>IF(OR(N652&lt;EDA!$H$1,N652&gt;EDA!$H$2),"Outlier","Normal")</f>
        <v>Normal</v>
      </c>
    </row>
    <row r="653" spans="1:16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5">
        <v>1939.02</v>
      </c>
      <c r="O653" t="str">
        <f t="shared" si="10"/>
        <v>No Coupon</v>
      </c>
      <c r="P653" t="str">
        <f>IF(OR(N653&lt;EDA!$H$1,N653&gt;EDA!$H$2),"Outlier","Normal")</f>
        <v>Normal</v>
      </c>
    </row>
    <row r="654" spans="1:16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  <c r="O654" t="str">
        <f t="shared" si="10"/>
        <v>FREESHIP</v>
      </c>
      <c r="P654" t="str">
        <f>IF(OR(N654&lt;EDA!$H$1,N654&gt;EDA!$H$2),"Outlier","Normal")</f>
        <v>Normal</v>
      </c>
    </row>
    <row r="655" spans="1:16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  <c r="O655" t="str">
        <f t="shared" si="10"/>
        <v>WINTER15</v>
      </c>
      <c r="P655" t="str">
        <f>IF(OR(N655&lt;EDA!$H$1,N655&gt;EDA!$H$2),"Outlier","Normal")</f>
        <v>Normal</v>
      </c>
    </row>
    <row r="656" spans="1:16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5">
        <v>1147.1099999999999</v>
      </c>
      <c r="O656" t="str">
        <f t="shared" si="10"/>
        <v>No Coupon</v>
      </c>
      <c r="P656" t="str">
        <f>IF(OR(N656&lt;EDA!$H$1,N656&gt;EDA!$H$2),"Outlier","Normal")</f>
        <v>Normal</v>
      </c>
    </row>
    <row r="657" spans="1:16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  <c r="O657" t="str">
        <f t="shared" si="10"/>
        <v>WINTER15</v>
      </c>
      <c r="P657" t="str">
        <f>IF(OR(N657&lt;EDA!$H$1,N657&gt;EDA!$H$2),"Outlier","Normal")</f>
        <v>Normal</v>
      </c>
    </row>
    <row r="658" spans="1:16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  <c r="O658" t="str">
        <f t="shared" si="10"/>
        <v>SAVE10</v>
      </c>
      <c r="P658" t="str">
        <f>IF(OR(N658&lt;EDA!$H$1,N658&gt;EDA!$H$2),"Outlier","Normal")</f>
        <v>Normal</v>
      </c>
    </row>
    <row r="659" spans="1:16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  <c r="O659" t="str">
        <f t="shared" si="10"/>
        <v>FREESHIP</v>
      </c>
      <c r="P659" t="str">
        <f>IF(OR(N659&lt;EDA!$H$1,N659&gt;EDA!$H$2),"Outlier","Normal")</f>
        <v>Normal</v>
      </c>
    </row>
    <row r="660" spans="1:16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  <c r="O660" t="str">
        <f t="shared" si="10"/>
        <v>SAVE10</v>
      </c>
      <c r="P660" t="str">
        <f>IF(OR(N660&lt;EDA!$H$1,N660&gt;EDA!$H$2),"Outlier","Normal")</f>
        <v>Normal</v>
      </c>
    </row>
    <row r="661" spans="1:16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  <c r="O661" t="str">
        <f t="shared" si="10"/>
        <v>WINTER15</v>
      </c>
      <c r="P661" t="str">
        <f>IF(OR(N661&lt;EDA!$H$1,N661&gt;EDA!$H$2),"Outlier","Normal")</f>
        <v>Normal</v>
      </c>
    </row>
    <row r="662" spans="1:16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  <c r="O662" t="str">
        <f t="shared" si="10"/>
        <v>WINTER15</v>
      </c>
      <c r="P662" t="str">
        <f>IF(OR(N662&lt;EDA!$H$1,N662&gt;EDA!$H$2),"Outlier","Normal")</f>
        <v>Normal</v>
      </c>
    </row>
    <row r="663" spans="1:16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  <c r="O663" t="str">
        <f t="shared" si="10"/>
        <v>FREESHIP</v>
      </c>
      <c r="P663" t="str">
        <f>IF(OR(N663&lt;EDA!$H$1,N663&gt;EDA!$H$2),"Outlier","Normal")</f>
        <v>Normal</v>
      </c>
    </row>
    <row r="664" spans="1:16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5">
        <v>1316.67</v>
      </c>
      <c r="O664" t="str">
        <f t="shared" si="10"/>
        <v>No Coupon</v>
      </c>
      <c r="P664" t="str">
        <f>IF(OR(N664&lt;EDA!$H$1,N664&gt;EDA!$H$2),"Outlier","Normal")</f>
        <v>Normal</v>
      </c>
    </row>
    <row r="665" spans="1:16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  <c r="O665" t="str">
        <f t="shared" si="10"/>
        <v>FREESHIP</v>
      </c>
      <c r="P665" t="str">
        <f>IF(OR(N665&lt;EDA!$H$1,N665&gt;EDA!$H$2),"Outlier","Normal")</f>
        <v>Normal</v>
      </c>
    </row>
    <row r="666" spans="1:16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5">
        <v>779</v>
      </c>
      <c r="O666" t="str">
        <f t="shared" si="10"/>
        <v>No Coupon</v>
      </c>
      <c r="P666" t="str">
        <f>IF(OR(N666&lt;EDA!$H$1,N666&gt;EDA!$H$2),"Outlier","Normal")</f>
        <v>Normal</v>
      </c>
    </row>
    <row r="667" spans="1:16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  <c r="O667" t="str">
        <f t="shared" si="10"/>
        <v>WINTER15</v>
      </c>
      <c r="P667" t="str">
        <f>IF(OR(N667&lt;EDA!$H$1,N667&gt;EDA!$H$2),"Outlier","Normal")</f>
        <v>Normal</v>
      </c>
    </row>
    <row r="668" spans="1:16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5">
        <v>1308.48</v>
      </c>
      <c r="O668" t="str">
        <f t="shared" si="10"/>
        <v>No Coupon</v>
      </c>
      <c r="P668" t="str">
        <f>IF(OR(N668&lt;EDA!$H$1,N668&gt;EDA!$H$2),"Outlier","Normal")</f>
        <v>Normal</v>
      </c>
    </row>
    <row r="669" spans="1:16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  <c r="O669" t="str">
        <f t="shared" si="10"/>
        <v>SAVE10</v>
      </c>
      <c r="P669" t="str">
        <f>IF(OR(N669&lt;EDA!$H$1,N669&gt;EDA!$H$2),"Outlier","Normal")</f>
        <v>Normal</v>
      </c>
    </row>
    <row r="670" spans="1:16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  <c r="O670" t="str">
        <f t="shared" si="10"/>
        <v>WINTER15</v>
      </c>
      <c r="P670" t="str">
        <f>IF(OR(N670&lt;EDA!$H$1,N670&gt;EDA!$H$2),"Outlier","Normal")</f>
        <v>Normal</v>
      </c>
    </row>
    <row r="671" spans="1:16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5">
        <v>257</v>
      </c>
      <c r="O671" t="str">
        <f t="shared" si="10"/>
        <v>No Coupon</v>
      </c>
      <c r="P671" t="str">
        <f>IF(OR(N671&lt;EDA!$H$1,N671&gt;EDA!$H$2),"Outlier","Normal")</f>
        <v>Normal</v>
      </c>
    </row>
    <row r="672" spans="1:16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  <c r="O672" t="str">
        <f t="shared" si="10"/>
        <v>FREESHIP</v>
      </c>
      <c r="P672" t="str">
        <f>IF(OR(N672&lt;EDA!$H$1,N672&gt;EDA!$H$2),"Outlier","Normal")</f>
        <v>Normal</v>
      </c>
    </row>
    <row r="673" spans="1:16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  <c r="O673" t="str">
        <f t="shared" si="10"/>
        <v>WINTER15</v>
      </c>
      <c r="P673" t="str">
        <f>IF(OR(N673&lt;EDA!$H$1,N673&gt;EDA!$H$2),"Outlier","Normal")</f>
        <v>Normal</v>
      </c>
    </row>
    <row r="674" spans="1:16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  <c r="O674" t="str">
        <f t="shared" si="10"/>
        <v>SAVE10</v>
      </c>
      <c r="P674" t="str">
        <f>IF(OR(N674&lt;EDA!$H$1,N674&gt;EDA!$H$2),"Outlier","Normal")</f>
        <v>Normal</v>
      </c>
    </row>
    <row r="675" spans="1:16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  <c r="O675" t="str">
        <f t="shared" si="10"/>
        <v>SAVE10</v>
      </c>
      <c r="P675" t="str">
        <f>IF(OR(N675&lt;EDA!$H$1,N675&gt;EDA!$H$2),"Outlier","Normal")</f>
        <v>Normal</v>
      </c>
    </row>
    <row r="676" spans="1:16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  <c r="O676" t="str">
        <f t="shared" si="10"/>
        <v>SAVE10</v>
      </c>
      <c r="P676" t="str">
        <f>IF(OR(N676&lt;EDA!$H$1,N676&gt;EDA!$H$2),"Outlier","Normal")</f>
        <v>Normal</v>
      </c>
    </row>
    <row r="677" spans="1:16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5">
        <v>1026.06</v>
      </c>
      <c r="O677" t="str">
        <f t="shared" si="10"/>
        <v>No Coupon</v>
      </c>
      <c r="P677" t="str">
        <f>IF(OR(N677&lt;EDA!$H$1,N677&gt;EDA!$H$2),"Outlier","Normal")</f>
        <v>Normal</v>
      </c>
    </row>
    <row r="678" spans="1:16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  <c r="O678" t="str">
        <f t="shared" si="10"/>
        <v>FREESHIP</v>
      </c>
      <c r="P678" t="str">
        <f>IF(OR(N678&lt;EDA!$H$1,N678&gt;EDA!$H$2),"Outlier","Normal")</f>
        <v>Normal</v>
      </c>
    </row>
    <row r="679" spans="1:16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  <c r="O679" t="str">
        <f t="shared" si="10"/>
        <v>FREESHIP</v>
      </c>
      <c r="P679" t="str">
        <f>IF(OR(N679&lt;EDA!$H$1,N679&gt;EDA!$H$2),"Outlier","Normal")</f>
        <v>Normal</v>
      </c>
    </row>
    <row r="680" spans="1:16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  <c r="O680" t="str">
        <f t="shared" si="10"/>
        <v>WINTER15</v>
      </c>
      <c r="P680" t="str">
        <f>IF(OR(N680&lt;EDA!$H$1,N680&gt;EDA!$H$2),"Outlier","Normal")</f>
        <v>Normal</v>
      </c>
    </row>
    <row r="681" spans="1:16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  <c r="O681" t="str">
        <f t="shared" si="10"/>
        <v>FREESHIP</v>
      </c>
      <c r="P681" t="str">
        <f>IF(OR(N681&lt;EDA!$H$1,N681&gt;EDA!$H$2),"Outlier","Normal")</f>
        <v>Normal</v>
      </c>
    </row>
    <row r="682" spans="1:16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5">
        <v>1390.17</v>
      </c>
      <c r="O682" t="str">
        <f t="shared" si="10"/>
        <v>No Coupon</v>
      </c>
      <c r="P682" t="str">
        <f>IF(OR(N682&lt;EDA!$H$1,N682&gt;EDA!$H$2),"Outlier","Normal")</f>
        <v>Normal</v>
      </c>
    </row>
    <row r="683" spans="1:16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5">
        <v>155.27000000000001</v>
      </c>
      <c r="O683" t="str">
        <f t="shared" si="10"/>
        <v>No Coupon</v>
      </c>
      <c r="P683" t="str">
        <f>IF(OR(N683&lt;EDA!$H$1,N683&gt;EDA!$H$2),"Outlier","Normal")</f>
        <v>Normal</v>
      </c>
    </row>
    <row r="684" spans="1:16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  <c r="O684" t="str">
        <f t="shared" si="10"/>
        <v>FREESHIP</v>
      </c>
      <c r="P684" t="str">
        <f>IF(OR(N684&lt;EDA!$H$1,N684&gt;EDA!$H$2),"Outlier","Normal")</f>
        <v>Normal</v>
      </c>
    </row>
    <row r="685" spans="1:16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  <c r="O685" t="str">
        <f t="shared" si="10"/>
        <v>FREESHIP</v>
      </c>
      <c r="P685" t="str">
        <f>IF(OR(N685&lt;EDA!$H$1,N685&gt;EDA!$H$2),"Outlier","Normal")</f>
        <v>Normal</v>
      </c>
    </row>
    <row r="686" spans="1:16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5">
        <v>139.36000000000001</v>
      </c>
      <c r="O686" t="str">
        <f t="shared" si="10"/>
        <v>No Coupon</v>
      </c>
      <c r="P686" t="str">
        <f>IF(OR(N686&lt;EDA!$H$1,N686&gt;EDA!$H$2),"Outlier","Normal")</f>
        <v>Normal</v>
      </c>
    </row>
    <row r="687" spans="1:16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  <c r="O687" t="str">
        <f t="shared" si="10"/>
        <v>FREESHIP</v>
      </c>
      <c r="P687" t="str">
        <f>IF(OR(N687&lt;EDA!$H$1,N687&gt;EDA!$H$2),"Outlier","Normal")</f>
        <v>Normal</v>
      </c>
    </row>
    <row r="688" spans="1:16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  <c r="O688" t="str">
        <f t="shared" si="10"/>
        <v>WINTER15</v>
      </c>
      <c r="P688" t="str">
        <f>IF(OR(N688&lt;EDA!$H$1,N688&gt;EDA!$H$2),"Outlier","Normal")</f>
        <v>Normal</v>
      </c>
    </row>
    <row r="689" spans="1:16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  <c r="O689" t="str">
        <f t="shared" si="10"/>
        <v>FREESHIP</v>
      </c>
      <c r="P689" t="str">
        <f>IF(OR(N689&lt;EDA!$H$1,N689&gt;EDA!$H$2),"Outlier","Normal")</f>
        <v>Normal</v>
      </c>
    </row>
    <row r="690" spans="1:16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  <c r="O690" t="str">
        <f t="shared" si="10"/>
        <v>WINTER15</v>
      </c>
      <c r="P690" t="str">
        <f>IF(OR(N690&lt;EDA!$H$1,N690&gt;EDA!$H$2),"Outlier","Normal")</f>
        <v>Normal</v>
      </c>
    </row>
    <row r="691" spans="1:16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5">
        <v>889.68</v>
      </c>
      <c r="O691" t="str">
        <f t="shared" si="10"/>
        <v>No Coupon</v>
      </c>
      <c r="P691" t="str">
        <f>IF(OR(N691&lt;EDA!$H$1,N691&gt;EDA!$H$2),"Outlier","Normal")</f>
        <v>Normal</v>
      </c>
    </row>
    <row r="692" spans="1:16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5">
        <v>24.48</v>
      </c>
      <c r="O692" t="str">
        <f t="shared" si="10"/>
        <v>No Coupon</v>
      </c>
      <c r="P692" t="str">
        <f>IF(OR(N692&lt;EDA!$H$1,N692&gt;EDA!$H$2),"Outlier","Normal")</f>
        <v>Normal</v>
      </c>
    </row>
    <row r="693" spans="1:16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5">
        <v>717.24</v>
      </c>
      <c r="O693" t="str">
        <f t="shared" si="10"/>
        <v>No Coupon</v>
      </c>
      <c r="P693" t="str">
        <f>IF(OR(N693&lt;EDA!$H$1,N693&gt;EDA!$H$2),"Outlier","Normal")</f>
        <v>Normal</v>
      </c>
    </row>
    <row r="694" spans="1:16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  <c r="O694" t="str">
        <f t="shared" si="10"/>
        <v>WINTER15</v>
      </c>
      <c r="P694" t="str">
        <f>IF(OR(N694&lt;EDA!$H$1,N694&gt;EDA!$H$2),"Outlier","Normal")</f>
        <v>Normal</v>
      </c>
    </row>
    <row r="695" spans="1:16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5">
        <v>176.58</v>
      </c>
      <c r="O695" t="str">
        <f t="shared" si="10"/>
        <v>No Coupon</v>
      </c>
      <c r="P695" t="str">
        <f>IF(OR(N695&lt;EDA!$H$1,N695&gt;EDA!$H$2),"Outlier","Normal")</f>
        <v>Normal</v>
      </c>
    </row>
    <row r="696" spans="1:16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  <c r="O696" t="str">
        <f t="shared" si="10"/>
        <v>FREESHIP</v>
      </c>
      <c r="P696" t="str">
        <f>IF(OR(N696&lt;EDA!$H$1,N696&gt;EDA!$H$2),"Outlier","Normal")</f>
        <v>Normal</v>
      </c>
    </row>
    <row r="697" spans="1:16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  <c r="O697" t="str">
        <f t="shared" si="10"/>
        <v>FREESHIP</v>
      </c>
      <c r="P697" t="str">
        <f>IF(OR(N697&lt;EDA!$H$1,N697&gt;EDA!$H$2),"Outlier","Normal")</f>
        <v>Normal</v>
      </c>
    </row>
    <row r="698" spans="1:16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  <c r="O698" t="str">
        <f t="shared" si="10"/>
        <v>WINTER15</v>
      </c>
      <c r="P698" t="str">
        <f>IF(OR(N698&lt;EDA!$H$1,N698&gt;EDA!$H$2),"Outlier","Normal")</f>
        <v>Normal</v>
      </c>
    </row>
    <row r="699" spans="1:16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  <c r="O699" t="str">
        <f t="shared" si="10"/>
        <v>WINTER15</v>
      </c>
      <c r="P699" t="str">
        <f>IF(OR(N699&lt;EDA!$H$1,N699&gt;EDA!$H$2),"Outlier","Normal")</f>
        <v>Normal</v>
      </c>
    </row>
    <row r="700" spans="1:16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  <c r="O700" t="str">
        <f t="shared" si="10"/>
        <v>WINTER15</v>
      </c>
      <c r="P700" t="str">
        <f>IF(OR(N700&lt;EDA!$H$1,N700&gt;EDA!$H$2),"Outlier","Normal")</f>
        <v>Normal</v>
      </c>
    </row>
    <row r="701" spans="1:16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5">
        <v>1842.45</v>
      </c>
      <c r="O701" t="str">
        <f t="shared" si="10"/>
        <v>No Coupon</v>
      </c>
      <c r="P701" t="str">
        <f>IF(OR(N701&lt;EDA!$H$1,N701&gt;EDA!$H$2),"Outlier","Normal")</f>
        <v>Normal</v>
      </c>
    </row>
    <row r="702" spans="1:16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  <c r="O702" t="str">
        <f t="shared" si="10"/>
        <v>WINTER15</v>
      </c>
      <c r="P702" t="str">
        <f>IF(OR(N702&lt;EDA!$H$1,N702&gt;EDA!$H$2),"Outlier","Normal")</f>
        <v>Normal</v>
      </c>
    </row>
    <row r="703" spans="1:16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  <c r="O703" t="str">
        <f t="shared" si="10"/>
        <v>FREESHIP</v>
      </c>
      <c r="P703" t="str">
        <f>IF(OR(N703&lt;EDA!$H$1,N703&gt;EDA!$H$2),"Outlier","Normal")</f>
        <v>Normal</v>
      </c>
    </row>
    <row r="704" spans="1:16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5">
        <v>1687.65</v>
      </c>
      <c r="O704" t="str">
        <f t="shared" si="10"/>
        <v>No Coupon</v>
      </c>
      <c r="P704" t="str">
        <f>IF(OR(N704&lt;EDA!$H$1,N704&gt;EDA!$H$2),"Outlier","Normal")</f>
        <v>Normal</v>
      </c>
    </row>
    <row r="705" spans="1:16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  <c r="O705" t="str">
        <f t="shared" si="10"/>
        <v>WINTER15</v>
      </c>
      <c r="P705" t="str">
        <f>IF(OR(N705&lt;EDA!$H$1,N705&gt;EDA!$H$2),"Outlier","Normal")</f>
        <v>Normal</v>
      </c>
    </row>
    <row r="706" spans="1:16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  <c r="O706" t="str">
        <f t="shared" si="10"/>
        <v>FREESHIP</v>
      </c>
      <c r="P706" t="str">
        <f>IF(OR(N706&lt;EDA!$H$1,N706&gt;EDA!$H$2),"Outlier","Normal")</f>
        <v>Normal</v>
      </c>
    </row>
    <row r="707" spans="1:16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  <c r="O707" t="str">
        <f t="shared" ref="O707:O770" si="11">IF(L707="","No Coupon",L707)</f>
        <v>FREESHIP</v>
      </c>
      <c r="P707" t="str">
        <f>IF(OR(N707&lt;EDA!$H$1,N707&gt;EDA!$H$2),"Outlier","Normal")</f>
        <v>Normal</v>
      </c>
    </row>
    <row r="708" spans="1:16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  <c r="O708" t="str">
        <f t="shared" si="11"/>
        <v>FREESHIP</v>
      </c>
      <c r="P708" t="str">
        <f>IF(OR(N708&lt;EDA!$H$1,N708&gt;EDA!$H$2),"Outlier","Normal")</f>
        <v>Normal</v>
      </c>
    </row>
    <row r="709" spans="1:16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  <c r="O709" t="str">
        <f t="shared" si="11"/>
        <v>SAVE10</v>
      </c>
      <c r="P709" t="str">
        <f>IF(OR(N709&lt;EDA!$H$1,N709&gt;EDA!$H$2),"Outlier","Normal")</f>
        <v>Normal</v>
      </c>
    </row>
    <row r="710" spans="1:16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  <c r="O710" t="str">
        <f t="shared" si="11"/>
        <v>FREESHIP</v>
      </c>
      <c r="P710" t="str">
        <f>IF(OR(N710&lt;EDA!$H$1,N710&gt;EDA!$H$2),"Outlier","Normal")</f>
        <v>Normal</v>
      </c>
    </row>
    <row r="711" spans="1:16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  <c r="O711" t="str">
        <f t="shared" si="11"/>
        <v>FREESHIP</v>
      </c>
      <c r="P711" t="str">
        <f>IF(OR(N711&lt;EDA!$H$1,N711&gt;EDA!$H$2),"Outlier","Normal")</f>
        <v>Normal</v>
      </c>
    </row>
    <row r="712" spans="1:16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5">
        <v>107.7</v>
      </c>
      <c r="O712" t="str">
        <f t="shared" si="11"/>
        <v>No Coupon</v>
      </c>
      <c r="P712" t="str">
        <f>IF(OR(N712&lt;EDA!$H$1,N712&gt;EDA!$H$2),"Outlier","Normal")</f>
        <v>Normal</v>
      </c>
    </row>
    <row r="713" spans="1:16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  <c r="O713" t="str">
        <f t="shared" si="11"/>
        <v>WINTER15</v>
      </c>
      <c r="P713" t="str">
        <f>IF(OR(N713&lt;EDA!$H$1,N713&gt;EDA!$H$2),"Outlier","Normal")</f>
        <v>Normal</v>
      </c>
    </row>
    <row r="714" spans="1:16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  <c r="O714" t="str">
        <f t="shared" si="11"/>
        <v>FREESHIP</v>
      </c>
      <c r="P714" t="str">
        <f>IF(OR(N714&lt;EDA!$H$1,N714&gt;EDA!$H$2),"Outlier","Normal")</f>
        <v>Normal</v>
      </c>
    </row>
    <row r="715" spans="1:16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  <c r="O715" t="str">
        <f t="shared" si="11"/>
        <v>SAVE10</v>
      </c>
      <c r="P715" t="str">
        <f>IF(OR(N715&lt;EDA!$H$1,N715&gt;EDA!$H$2),"Outlier","Normal")</f>
        <v>Normal</v>
      </c>
    </row>
    <row r="716" spans="1:16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  <c r="O716" t="str">
        <f t="shared" si="11"/>
        <v>FREESHIP</v>
      </c>
      <c r="P716" t="str">
        <f>IF(OR(N716&lt;EDA!$H$1,N716&gt;EDA!$H$2),"Outlier","Normal")</f>
        <v>Normal</v>
      </c>
    </row>
    <row r="717" spans="1:16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  <c r="O717" t="str">
        <f t="shared" si="11"/>
        <v>FREESHIP</v>
      </c>
      <c r="P717" t="str">
        <f>IF(OR(N717&lt;EDA!$H$1,N717&gt;EDA!$H$2),"Outlier","Normal")</f>
        <v>Normal</v>
      </c>
    </row>
    <row r="718" spans="1:16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  <c r="O718" t="str">
        <f t="shared" si="11"/>
        <v>WINTER15</v>
      </c>
      <c r="P718" t="str">
        <f>IF(OR(N718&lt;EDA!$H$1,N718&gt;EDA!$H$2),"Outlier","Normal")</f>
        <v>Normal</v>
      </c>
    </row>
    <row r="719" spans="1:16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  <c r="O719" t="str">
        <f t="shared" si="11"/>
        <v>WINTER15</v>
      </c>
      <c r="P719" t="str">
        <f>IF(OR(N719&lt;EDA!$H$1,N719&gt;EDA!$H$2),"Outlier","Normal")</f>
        <v>Normal</v>
      </c>
    </row>
    <row r="720" spans="1:16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  <c r="O720" t="str">
        <f t="shared" si="11"/>
        <v>SAVE10</v>
      </c>
      <c r="P720" t="str">
        <f>IF(OR(N720&lt;EDA!$H$1,N720&gt;EDA!$H$2),"Outlier","Normal")</f>
        <v>Normal</v>
      </c>
    </row>
    <row r="721" spans="1:16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  <c r="O721" t="str">
        <f t="shared" si="11"/>
        <v>FREESHIP</v>
      </c>
      <c r="P721" t="str">
        <f>IF(OR(N721&lt;EDA!$H$1,N721&gt;EDA!$H$2),"Outlier","Normal")</f>
        <v>Normal</v>
      </c>
    </row>
    <row r="722" spans="1:16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  <c r="O722" t="str">
        <f t="shared" si="11"/>
        <v>FREESHIP</v>
      </c>
      <c r="P722" t="str">
        <f>IF(OR(N722&lt;EDA!$H$1,N722&gt;EDA!$H$2),"Outlier","Normal")</f>
        <v>Normal</v>
      </c>
    </row>
    <row r="723" spans="1:16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5">
        <v>237.18</v>
      </c>
      <c r="O723" t="str">
        <f t="shared" si="11"/>
        <v>No Coupon</v>
      </c>
      <c r="P723" t="str">
        <f>IF(OR(N723&lt;EDA!$H$1,N723&gt;EDA!$H$2),"Outlier","Normal")</f>
        <v>Normal</v>
      </c>
    </row>
    <row r="724" spans="1:16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  <c r="O724" t="str">
        <f t="shared" si="11"/>
        <v>WINTER15</v>
      </c>
      <c r="P724" t="str">
        <f>IF(OR(N724&lt;EDA!$H$1,N724&gt;EDA!$H$2),"Outlier","Normal")</f>
        <v>Normal</v>
      </c>
    </row>
    <row r="725" spans="1:16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  <c r="O725" t="str">
        <f t="shared" si="11"/>
        <v>SAVE10</v>
      </c>
      <c r="P725" t="str">
        <f>IF(OR(N725&lt;EDA!$H$1,N725&gt;EDA!$H$2),"Outlier","Normal")</f>
        <v>Normal</v>
      </c>
    </row>
    <row r="726" spans="1:16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  <c r="O726" t="str">
        <f t="shared" si="11"/>
        <v>FREESHIP</v>
      </c>
      <c r="P726" t="str">
        <f>IF(OR(N726&lt;EDA!$H$1,N726&gt;EDA!$H$2),"Outlier","Normal")</f>
        <v>Normal</v>
      </c>
    </row>
    <row r="727" spans="1:16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5">
        <v>389.7</v>
      </c>
      <c r="O727" t="str">
        <f t="shared" si="11"/>
        <v>No Coupon</v>
      </c>
      <c r="P727" t="str">
        <f>IF(OR(N727&lt;EDA!$H$1,N727&gt;EDA!$H$2),"Outlier","Normal")</f>
        <v>Normal</v>
      </c>
    </row>
    <row r="728" spans="1:16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  <c r="O728" t="str">
        <f t="shared" si="11"/>
        <v>FREESHIP</v>
      </c>
      <c r="P728" t="str">
        <f>IF(OR(N728&lt;EDA!$H$1,N728&gt;EDA!$H$2),"Outlier","Normal")</f>
        <v>Normal</v>
      </c>
    </row>
    <row r="729" spans="1:16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  <c r="O729" t="str">
        <f t="shared" si="11"/>
        <v>SAVE10</v>
      </c>
      <c r="P729" t="str">
        <f>IF(OR(N729&lt;EDA!$H$1,N729&gt;EDA!$H$2),"Outlier","Normal")</f>
        <v>Normal</v>
      </c>
    </row>
    <row r="730" spans="1:16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  <c r="O730" t="str">
        <f t="shared" si="11"/>
        <v>WINTER15</v>
      </c>
      <c r="P730" t="str">
        <f>IF(OR(N730&lt;EDA!$H$1,N730&gt;EDA!$H$2),"Outlier","Normal")</f>
        <v>Normal</v>
      </c>
    </row>
    <row r="731" spans="1:16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  <c r="O731" t="str">
        <f t="shared" si="11"/>
        <v>SAVE10</v>
      </c>
      <c r="P731" t="str">
        <f>IF(OR(N731&lt;EDA!$H$1,N731&gt;EDA!$H$2),"Outlier","Normal")</f>
        <v>Normal</v>
      </c>
    </row>
    <row r="732" spans="1:16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  <c r="O732" t="str">
        <f t="shared" si="11"/>
        <v>SAVE10</v>
      </c>
      <c r="P732" t="str">
        <f>IF(OR(N732&lt;EDA!$H$1,N732&gt;EDA!$H$2),"Outlier","Normal")</f>
        <v>Normal</v>
      </c>
    </row>
    <row r="733" spans="1:16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5">
        <v>2922.3</v>
      </c>
      <c r="O733" t="str">
        <f t="shared" si="11"/>
        <v>No Coupon</v>
      </c>
      <c r="P733" t="str">
        <f>IF(OR(N733&lt;EDA!$H$1,N733&gt;EDA!$H$2),"Outlier","Normal")</f>
        <v>Normal</v>
      </c>
    </row>
    <row r="734" spans="1:16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5">
        <v>132.05000000000001</v>
      </c>
      <c r="O734" t="str">
        <f t="shared" si="11"/>
        <v>No Coupon</v>
      </c>
      <c r="P734" t="str">
        <f>IF(OR(N734&lt;EDA!$H$1,N734&gt;EDA!$H$2),"Outlier","Normal")</f>
        <v>Normal</v>
      </c>
    </row>
    <row r="735" spans="1:16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  <c r="O735" t="str">
        <f t="shared" si="11"/>
        <v>SAVE10</v>
      </c>
      <c r="P735" t="str">
        <f>IF(OR(N735&lt;EDA!$H$1,N735&gt;EDA!$H$2),"Outlier","Normal")</f>
        <v>Normal</v>
      </c>
    </row>
    <row r="736" spans="1:16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  <c r="O736" t="str">
        <f t="shared" si="11"/>
        <v>WINTER15</v>
      </c>
      <c r="P736" t="str">
        <f>IF(OR(N736&lt;EDA!$H$1,N736&gt;EDA!$H$2),"Outlier","Normal")</f>
        <v>Normal</v>
      </c>
    </row>
    <row r="737" spans="1:16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5">
        <v>176.28</v>
      </c>
      <c r="O737" t="str">
        <f t="shared" si="11"/>
        <v>No Coupon</v>
      </c>
      <c r="P737" t="str">
        <f>IF(OR(N737&lt;EDA!$H$1,N737&gt;EDA!$H$2),"Outlier","Normal")</f>
        <v>Normal</v>
      </c>
    </row>
    <row r="738" spans="1:16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  <c r="O738" t="str">
        <f t="shared" si="11"/>
        <v>FREESHIP</v>
      </c>
      <c r="P738" t="str">
        <f>IF(OR(N738&lt;EDA!$H$1,N738&gt;EDA!$H$2),"Outlier","Normal")</f>
        <v>Normal</v>
      </c>
    </row>
    <row r="739" spans="1:16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  <c r="O739" t="str">
        <f t="shared" si="11"/>
        <v>FREESHIP</v>
      </c>
      <c r="P739" t="str">
        <f>IF(OR(N739&lt;EDA!$H$1,N739&gt;EDA!$H$2),"Outlier","Normal")</f>
        <v>Normal</v>
      </c>
    </row>
    <row r="740" spans="1:16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  <c r="O740" t="str">
        <f t="shared" si="11"/>
        <v>SAVE10</v>
      </c>
      <c r="P740" t="str">
        <f>IF(OR(N740&lt;EDA!$H$1,N740&gt;EDA!$H$2),"Outlier","Normal")</f>
        <v>Normal</v>
      </c>
    </row>
    <row r="741" spans="1:16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  <c r="O741" t="str">
        <f t="shared" si="11"/>
        <v>SAVE10</v>
      </c>
      <c r="P741" t="str">
        <f>IF(OR(N741&lt;EDA!$H$1,N741&gt;EDA!$H$2),"Outlier","Normal")</f>
        <v>Normal</v>
      </c>
    </row>
    <row r="742" spans="1:16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5">
        <v>754.94</v>
      </c>
      <c r="O742" t="str">
        <f t="shared" si="11"/>
        <v>No Coupon</v>
      </c>
      <c r="P742" t="str">
        <f>IF(OR(N742&lt;EDA!$H$1,N742&gt;EDA!$H$2),"Outlier","Normal")</f>
        <v>Normal</v>
      </c>
    </row>
    <row r="743" spans="1:16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5">
        <v>1663.2</v>
      </c>
      <c r="O743" t="str">
        <f t="shared" si="11"/>
        <v>No Coupon</v>
      </c>
      <c r="P743" t="str">
        <f>IF(OR(N743&lt;EDA!$H$1,N743&gt;EDA!$H$2),"Outlier","Normal")</f>
        <v>Normal</v>
      </c>
    </row>
    <row r="744" spans="1:16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  <c r="O744" t="str">
        <f t="shared" si="11"/>
        <v>SAVE10</v>
      </c>
      <c r="P744" t="str">
        <f>IF(OR(N744&lt;EDA!$H$1,N744&gt;EDA!$H$2),"Outlier","Normal")</f>
        <v>Normal</v>
      </c>
    </row>
    <row r="745" spans="1:16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  <c r="O745" t="str">
        <f t="shared" si="11"/>
        <v>WINTER15</v>
      </c>
      <c r="P745" t="str">
        <f>IF(OR(N745&lt;EDA!$H$1,N745&gt;EDA!$H$2),"Outlier","Normal")</f>
        <v>Normal</v>
      </c>
    </row>
    <row r="746" spans="1:16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  <c r="O746" t="str">
        <f t="shared" si="11"/>
        <v>SAVE10</v>
      </c>
      <c r="P746" t="str">
        <f>IF(OR(N746&lt;EDA!$H$1,N746&gt;EDA!$H$2),"Outlier","Normal")</f>
        <v>Normal</v>
      </c>
    </row>
    <row r="747" spans="1:16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  <c r="O747" t="str">
        <f t="shared" si="11"/>
        <v>FREESHIP</v>
      </c>
      <c r="P747" t="str">
        <f>IF(OR(N747&lt;EDA!$H$1,N747&gt;EDA!$H$2),"Outlier","Normal")</f>
        <v>Normal</v>
      </c>
    </row>
    <row r="748" spans="1:16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  <c r="O748" t="str">
        <f t="shared" si="11"/>
        <v>WINTER15</v>
      </c>
      <c r="P748" t="str">
        <f>IF(OR(N748&lt;EDA!$H$1,N748&gt;EDA!$H$2),"Outlier","Normal")</f>
        <v>Normal</v>
      </c>
    </row>
    <row r="749" spans="1:16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  <c r="O749" t="str">
        <f t="shared" si="11"/>
        <v>FREESHIP</v>
      </c>
      <c r="P749" t="str">
        <f>IF(OR(N749&lt;EDA!$H$1,N749&gt;EDA!$H$2),"Outlier","Normal")</f>
        <v>Normal</v>
      </c>
    </row>
    <row r="750" spans="1:16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  <c r="O750" t="str">
        <f t="shared" si="11"/>
        <v>FREESHIP</v>
      </c>
      <c r="P750" t="str">
        <f>IF(OR(N750&lt;EDA!$H$1,N750&gt;EDA!$H$2),"Outlier","Normal")</f>
        <v>Normal</v>
      </c>
    </row>
    <row r="751" spans="1:16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  <c r="O751" t="str">
        <f t="shared" si="11"/>
        <v>FREESHIP</v>
      </c>
      <c r="P751" t="str">
        <f>IF(OR(N751&lt;EDA!$H$1,N751&gt;EDA!$H$2),"Outlier","Normal")</f>
        <v>Normal</v>
      </c>
    </row>
    <row r="752" spans="1:16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  <c r="O752" t="str">
        <f t="shared" si="11"/>
        <v>FREESHIP</v>
      </c>
      <c r="P752" t="str">
        <f>IF(OR(N752&lt;EDA!$H$1,N752&gt;EDA!$H$2),"Outlier","Normal")</f>
        <v>Normal</v>
      </c>
    </row>
    <row r="753" spans="1:16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  <c r="O753" t="str">
        <f t="shared" si="11"/>
        <v>FREESHIP</v>
      </c>
      <c r="P753" t="str">
        <f>IF(OR(N753&lt;EDA!$H$1,N753&gt;EDA!$H$2),"Outlier","Normal")</f>
        <v>Normal</v>
      </c>
    </row>
    <row r="754" spans="1:16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  <c r="O754" t="str">
        <f t="shared" si="11"/>
        <v>FREESHIP</v>
      </c>
      <c r="P754" t="str">
        <f>IF(OR(N754&lt;EDA!$H$1,N754&gt;EDA!$H$2),"Outlier","Normal")</f>
        <v>Normal</v>
      </c>
    </row>
    <row r="755" spans="1:16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  <c r="O755" t="str">
        <f t="shared" si="11"/>
        <v>FREESHIP</v>
      </c>
      <c r="P755" t="str">
        <f>IF(OR(N755&lt;EDA!$H$1,N755&gt;EDA!$H$2),"Outlier","Normal")</f>
        <v>Normal</v>
      </c>
    </row>
    <row r="756" spans="1:16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  <c r="O756" t="str">
        <f t="shared" si="11"/>
        <v>WINTER15</v>
      </c>
      <c r="P756" t="str">
        <f>IF(OR(N756&lt;EDA!$H$1,N756&gt;EDA!$H$2),"Outlier","Normal")</f>
        <v>Normal</v>
      </c>
    </row>
    <row r="757" spans="1:16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5">
        <v>1010.13</v>
      </c>
      <c r="O757" t="str">
        <f t="shared" si="11"/>
        <v>No Coupon</v>
      </c>
      <c r="P757" t="str">
        <f>IF(OR(N757&lt;EDA!$H$1,N757&gt;EDA!$H$2),"Outlier","Normal")</f>
        <v>Normal</v>
      </c>
    </row>
    <row r="758" spans="1:16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5">
        <v>283.69</v>
      </c>
      <c r="O758" t="str">
        <f t="shared" si="11"/>
        <v>No Coupon</v>
      </c>
      <c r="P758" t="str">
        <f>IF(OR(N758&lt;EDA!$H$1,N758&gt;EDA!$H$2),"Outlier","Normal")</f>
        <v>Normal</v>
      </c>
    </row>
    <row r="759" spans="1:16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  <c r="O759" t="str">
        <f t="shared" si="11"/>
        <v>FREESHIP</v>
      </c>
      <c r="P759" t="str">
        <f>IF(OR(N759&lt;EDA!$H$1,N759&gt;EDA!$H$2),"Outlier","Normal")</f>
        <v>Normal</v>
      </c>
    </row>
    <row r="760" spans="1:16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  <c r="O760" t="str">
        <f t="shared" si="11"/>
        <v>WINTER15</v>
      </c>
      <c r="P760" t="str">
        <f>IF(OR(N760&lt;EDA!$H$1,N760&gt;EDA!$H$2),"Outlier","Normal")</f>
        <v>Normal</v>
      </c>
    </row>
    <row r="761" spans="1:16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  <c r="O761" t="str">
        <f t="shared" si="11"/>
        <v>FREESHIP</v>
      </c>
      <c r="P761" t="str">
        <f>IF(OR(N761&lt;EDA!$H$1,N761&gt;EDA!$H$2),"Outlier","Normal")</f>
        <v>Normal</v>
      </c>
    </row>
    <row r="762" spans="1:16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5">
        <v>39.56</v>
      </c>
      <c r="O762" t="str">
        <f t="shared" si="11"/>
        <v>No Coupon</v>
      </c>
      <c r="P762" t="str">
        <f>IF(OR(N762&lt;EDA!$H$1,N762&gt;EDA!$H$2),"Outlier","Normal")</f>
        <v>Normal</v>
      </c>
    </row>
    <row r="763" spans="1:16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5">
        <v>151.04</v>
      </c>
      <c r="O763" t="str">
        <f t="shared" si="11"/>
        <v>No Coupon</v>
      </c>
      <c r="P763" t="str">
        <f>IF(OR(N763&lt;EDA!$H$1,N763&gt;EDA!$H$2),"Outlier","Normal")</f>
        <v>Normal</v>
      </c>
    </row>
    <row r="764" spans="1:16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  <c r="O764" t="str">
        <f t="shared" si="11"/>
        <v>FREESHIP</v>
      </c>
      <c r="P764" t="str">
        <f>IF(OR(N764&lt;EDA!$H$1,N764&gt;EDA!$H$2),"Outlier","Normal")</f>
        <v>Normal</v>
      </c>
    </row>
    <row r="765" spans="1:16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  <c r="O765" t="str">
        <f t="shared" si="11"/>
        <v>FREESHIP</v>
      </c>
      <c r="P765" t="str">
        <f>IF(OR(N765&lt;EDA!$H$1,N765&gt;EDA!$H$2),"Outlier","Normal")</f>
        <v>Normal</v>
      </c>
    </row>
    <row r="766" spans="1:16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  <c r="O766" t="str">
        <f t="shared" si="11"/>
        <v>FREESHIP</v>
      </c>
      <c r="P766" t="str">
        <f>IF(OR(N766&lt;EDA!$H$1,N766&gt;EDA!$H$2),"Outlier","Normal")</f>
        <v>Normal</v>
      </c>
    </row>
    <row r="767" spans="1:16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  <c r="O767" t="str">
        <f t="shared" si="11"/>
        <v>SAVE10</v>
      </c>
      <c r="P767" t="str">
        <f>IF(OR(N767&lt;EDA!$H$1,N767&gt;EDA!$H$2),"Outlier","Normal")</f>
        <v>Normal</v>
      </c>
    </row>
    <row r="768" spans="1:16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  <c r="O768" t="str">
        <f t="shared" si="11"/>
        <v>FREESHIP</v>
      </c>
      <c r="P768" t="str">
        <f>IF(OR(N768&lt;EDA!$H$1,N768&gt;EDA!$H$2),"Outlier","Normal")</f>
        <v>Normal</v>
      </c>
    </row>
    <row r="769" spans="1:16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5">
        <v>646.44000000000005</v>
      </c>
      <c r="O769" t="str">
        <f t="shared" si="11"/>
        <v>No Coupon</v>
      </c>
      <c r="P769" t="str">
        <f>IF(OR(N769&lt;EDA!$H$1,N769&gt;EDA!$H$2),"Outlier","Normal")</f>
        <v>Normal</v>
      </c>
    </row>
    <row r="770" spans="1:16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  <c r="O770" t="str">
        <f t="shared" si="11"/>
        <v>WINTER15</v>
      </c>
      <c r="P770" t="str">
        <f>IF(OR(N770&lt;EDA!$H$1,N770&gt;EDA!$H$2),"Outlier","Normal")</f>
        <v>Normal</v>
      </c>
    </row>
    <row r="771" spans="1:16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5">
        <v>2714.2</v>
      </c>
      <c r="O771" t="str">
        <f t="shared" ref="O771:O834" si="12">IF(L771="","No Coupon",L771)</f>
        <v>No Coupon</v>
      </c>
      <c r="P771" t="str">
        <f>IF(OR(N771&lt;EDA!$H$1,N771&gt;EDA!$H$2),"Outlier","Normal")</f>
        <v>Normal</v>
      </c>
    </row>
    <row r="772" spans="1:16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5">
        <v>314.38</v>
      </c>
      <c r="O772" t="str">
        <f t="shared" si="12"/>
        <v>No Coupon</v>
      </c>
      <c r="P772" t="str">
        <f>IF(OR(N772&lt;EDA!$H$1,N772&gt;EDA!$H$2),"Outlier","Normal")</f>
        <v>Normal</v>
      </c>
    </row>
    <row r="773" spans="1:16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  <c r="O773" t="str">
        <f t="shared" si="12"/>
        <v>FREESHIP</v>
      </c>
      <c r="P773" t="str">
        <f>IF(OR(N773&lt;EDA!$H$1,N773&gt;EDA!$H$2),"Outlier","Normal")</f>
        <v>Normal</v>
      </c>
    </row>
    <row r="774" spans="1:16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5">
        <v>604.87</v>
      </c>
      <c r="O774" t="str">
        <f t="shared" si="12"/>
        <v>No Coupon</v>
      </c>
      <c r="P774" t="str">
        <f>IF(OR(N774&lt;EDA!$H$1,N774&gt;EDA!$H$2),"Outlier","Normal")</f>
        <v>Normal</v>
      </c>
    </row>
    <row r="775" spans="1:16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5">
        <v>1024.6600000000001</v>
      </c>
      <c r="O775" t="str">
        <f t="shared" si="12"/>
        <v>No Coupon</v>
      </c>
      <c r="P775" t="str">
        <f>IF(OR(N775&lt;EDA!$H$1,N775&gt;EDA!$H$2),"Outlier","Normal")</f>
        <v>Normal</v>
      </c>
    </row>
    <row r="776" spans="1:16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  <c r="O776" t="str">
        <f t="shared" si="12"/>
        <v>FREESHIP</v>
      </c>
      <c r="P776" t="str">
        <f>IF(OR(N776&lt;EDA!$H$1,N776&gt;EDA!$H$2),"Outlier","Normal")</f>
        <v>Normal</v>
      </c>
    </row>
    <row r="777" spans="1:16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5">
        <v>1250.44</v>
      </c>
      <c r="O777" t="str">
        <f t="shared" si="12"/>
        <v>No Coupon</v>
      </c>
      <c r="P777" t="str">
        <f>IF(OR(N777&lt;EDA!$H$1,N777&gt;EDA!$H$2),"Outlier","Normal")</f>
        <v>Normal</v>
      </c>
    </row>
    <row r="778" spans="1:16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  <c r="O778" t="str">
        <f t="shared" si="12"/>
        <v>WINTER15</v>
      </c>
      <c r="P778" t="str">
        <f>IF(OR(N778&lt;EDA!$H$1,N778&gt;EDA!$H$2),"Outlier","Normal")</f>
        <v>Normal</v>
      </c>
    </row>
    <row r="779" spans="1:16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5">
        <v>322.45</v>
      </c>
      <c r="O779" t="str">
        <f t="shared" si="12"/>
        <v>No Coupon</v>
      </c>
      <c r="P779" t="str">
        <f>IF(OR(N779&lt;EDA!$H$1,N779&gt;EDA!$H$2),"Outlier","Normal")</f>
        <v>Normal</v>
      </c>
    </row>
    <row r="780" spans="1:16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  <c r="O780" t="str">
        <f t="shared" si="12"/>
        <v>WINTER15</v>
      </c>
      <c r="P780" t="str">
        <f>IF(OR(N780&lt;EDA!$H$1,N780&gt;EDA!$H$2),"Outlier","Normal")</f>
        <v>Normal</v>
      </c>
    </row>
    <row r="781" spans="1:16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  <c r="O781" t="str">
        <f t="shared" si="12"/>
        <v>FREESHIP</v>
      </c>
      <c r="P781" t="str">
        <f>IF(OR(N781&lt;EDA!$H$1,N781&gt;EDA!$H$2),"Outlier","Normal")</f>
        <v>Normal</v>
      </c>
    </row>
    <row r="782" spans="1:16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  <c r="O782" t="str">
        <f t="shared" si="12"/>
        <v>WINTER15</v>
      </c>
      <c r="P782" t="str">
        <f>IF(OR(N782&lt;EDA!$H$1,N782&gt;EDA!$H$2),"Outlier","Normal")</f>
        <v>Normal</v>
      </c>
    </row>
    <row r="783" spans="1:16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  <c r="O783" t="str">
        <f t="shared" si="12"/>
        <v>FREESHIP</v>
      </c>
      <c r="P783" t="str">
        <f>IF(OR(N783&lt;EDA!$H$1,N783&gt;EDA!$H$2),"Outlier","Normal")</f>
        <v>Normal</v>
      </c>
    </row>
    <row r="784" spans="1:16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  <c r="O784" t="str">
        <f t="shared" si="12"/>
        <v>SAVE10</v>
      </c>
      <c r="P784" t="str">
        <f>IF(OR(N784&lt;EDA!$H$1,N784&gt;EDA!$H$2),"Outlier","Normal")</f>
        <v>Normal</v>
      </c>
    </row>
    <row r="785" spans="1:16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  <c r="O785" t="str">
        <f t="shared" si="12"/>
        <v>FREESHIP</v>
      </c>
      <c r="P785" t="str">
        <f>IF(OR(N785&lt;EDA!$H$1,N785&gt;EDA!$H$2),"Outlier","Normal")</f>
        <v>Normal</v>
      </c>
    </row>
    <row r="786" spans="1:16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  <c r="O786" t="str">
        <f t="shared" si="12"/>
        <v>WINTER15</v>
      </c>
      <c r="P786" t="str">
        <f>IF(OR(N786&lt;EDA!$H$1,N786&gt;EDA!$H$2),"Outlier","Normal")</f>
        <v>Normal</v>
      </c>
    </row>
    <row r="787" spans="1:16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  <c r="O787" t="str">
        <f t="shared" si="12"/>
        <v>SAVE10</v>
      </c>
      <c r="P787" t="str">
        <f>IF(OR(N787&lt;EDA!$H$1,N787&gt;EDA!$H$2),"Outlier","Normal")</f>
        <v>Normal</v>
      </c>
    </row>
    <row r="788" spans="1:16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5">
        <v>226.55</v>
      </c>
      <c r="O788" t="str">
        <f t="shared" si="12"/>
        <v>No Coupon</v>
      </c>
      <c r="P788" t="str">
        <f>IF(OR(N788&lt;EDA!$H$1,N788&gt;EDA!$H$2),"Outlier","Normal")</f>
        <v>Normal</v>
      </c>
    </row>
    <row r="789" spans="1:16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5">
        <v>887.84</v>
      </c>
      <c r="O789" t="str">
        <f t="shared" si="12"/>
        <v>No Coupon</v>
      </c>
      <c r="P789" t="str">
        <f>IF(OR(N789&lt;EDA!$H$1,N789&gt;EDA!$H$2),"Outlier","Normal")</f>
        <v>Normal</v>
      </c>
    </row>
    <row r="790" spans="1:16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  <c r="O790" t="str">
        <f t="shared" si="12"/>
        <v>FREESHIP</v>
      </c>
      <c r="P790" t="str">
        <f>IF(OR(N790&lt;EDA!$H$1,N790&gt;EDA!$H$2),"Outlier","Normal")</f>
        <v>Normal</v>
      </c>
    </row>
    <row r="791" spans="1:16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  <c r="O791" t="str">
        <f t="shared" si="12"/>
        <v>SAVE10</v>
      </c>
      <c r="P791" t="str">
        <f>IF(OR(N791&lt;EDA!$H$1,N791&gt;EDA!$H$2),"Outlier","Normal")</f>
        <v>Outlier</v>
      </c>
    </row>
    <row r="792" spans="1:16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5">
        <v>1671.56</v>
      </c>
      <c r="O792" t="str">
        <f t="shared" si="12"/>
        <v>No Coupon</v>
      </c>
      <c r="P792" t="str">
        <f>IF(OR(N792&lt;EDA!$H$1,N792&gt;EDA!$H$2),"Outlier","Normal")</f>
        <v>Normal</v>
      </c>
    </row>
    <row r="793" spans="1:16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5">
        <v>1637.12</v>
      </c>
      <c r="O793" t="str">
        <f t="shared" si="12"/>
        <v>No Coupon</v>
      </c>
      <c r="P793" t="str">
        <f>IF(OR(N793&lt;EDA!$H$1,N793&gt;EDA!$H$2),"Outlier","Normal")</f>
        <v>Normal</v>
      </c>
    </row>
    <row r="794" spans="1:16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  <c r="O794" t="str">
        <f t="shared" si="12"/>
        <v>WINTER15</v>
      </c>
      <c r="P794" t="str">
        <f>IF(OR(N794&lt;EDA!$H$1,N794&gt;EDA!$H$2),"Outlier","Normal")</f>
        <v>Normal</v>
      </c>
    </row>
    <row r="795" spans="1:16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5">
        <v>851.1</v>
      </c>
      <c r="O795" t="str">
        <f t="shared" si="12"/>
        <v>No Coupon</v>
      </c>
      <c r="P795" t="str">
        <f>IF(OR(N795&lt;EDA!$H$1,N795&gt;EDA!$H$2),"Outlier","Normal")</f>
        <v>Normal</v>
      </c>
    </row>
    <row r="796" spans="1:16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  <c r="O796" t="str">
        <f t="shared" si="12"/>
        <v>FREESHIP</v>
      </c>
      <c r="P796" t="str">
        <f>IF(OR(N796&lt;EDA!$H$1,N796&gt;EDA!$H$2),"Outlier","Normal")</f>
        <v>Normal</v>
      </c>
    </row>
    <row r="797" spans="1:16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  <c r="O797" t="str">
        <f t="shared" si="12"/>
        <v>SAVE10</v>
      </c>
      <c r="P797" t="str">
        <f>IF(OR(N797&lt;EDA!$H$1,N797&gt;EDA!$H$2),"Outlier","Normal")</f>
        <v>Normal</v>
      </c>
    </row>
    <row r="798" spans="1:16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  <c r="O798" t="str">
        <f t="shared" si="12"/>
        <v>WINTER15</v>
      </c>
      <c r="P798" t="str">
        <f>IF(OR(N798&lt;EDA!$H$1,N798&gt;EDA!$H$2),"Outlier","Normal")</f>
        <v>Normal</v>
      </c>
    </row>
    <row r="799" spans="1:16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5">
        <v>877.52</v>
      </c>
      <c r="O799" t="str">
        <f t="shared" si="12"/>
        <v>No Coupon</v>
      </c>
      <c r="P799" t="str">
        <f>IF(OR(N799&lt;EDA!$H$1,N799&gt;EDA!$H$2),"Outlier","Normal")</f>
        <v>Normal</v>
      </c>
    </row>
    <row r="800" spans="1:16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  <c r="O800" t="str">
        <f t="shared" si="12"/>
        <v>FREESHIP</v>
      </c>
      <c r="P800" t="str">
        <f>IF(OR(N800&lt;EDA!$H$1,N800&gt;EDA!$H$2),"Outlier","Normal")</f>
        <v>Normal</v>
      </c>
    </row>
    <row r="801" spans="1:16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  <c r="O801" t="str">
        <f t="shared" si="12"/>
        <v>FREESHIP</v>
      </c>
      <c r="P801" t="str">
        <f>IF(OR(N801&lt;EDA!$H$1,N801&gt;EDA!$H$2),"Outlier","Normal")</f>
        <v>Normal</v>
      </c>
    </row>
    <row r="802" spans="1:16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  <c r="O802" t="str">
        <f t="shared" si="12"/>
        <v>WINTER15</v>
      </c>
      <c r="P802" t="str">
        <f>IF(OR(N802&lt;EDA!$H$1,N802&gt;EDA!$H$2),"Outlier","Normal")</f>
        <v>Normal</v>
      </c>
    </row>
    <row r="803" spans="1:16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  <c r="O803" t="str">
        <f t="shared" si="12"/>
        <v>FREESHIP</v>
      </c>
      <c r="P803" t="str">
        <f>IF(OR(N803&lt;EDA!$H$1,N803&gt;EDA!$H$2),"Outlier","Normal")</f>
        <v>Normal</v>
      </c>
    </row>
    <row r="804" spans="1:16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  <c r="O804" t="str">
        <f t="shared" si="12"/>
        <v>FREESHIP</v>
      </c>
      <c r="P804" t="str">
        <f>IF(OR(N804&lt;EDA!$H$1,N804&gt;EDA!$H$2),"Outlier","Normal")</f>
        <v>Normal</v>
      </c>
    </row>
    <row r="805" spans="1:16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  <c r="O805" t="str">
        <f t="shared" si="12"/>
        <v>SAVE10</v>
      </c>
      <c r="P805" t="str">
        <f>IF(OR(N805&lt;EDA!$H$1,N805&gt;EDA!$H$2),"Outlier","Normal")</f>
        <v>Normal</v>
      </c>
    </row>
    <row r="806" spans="1:16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  <c r="O806" t="str">
        <f t="shared" si="12"/>
        <v>FREESHIP</v>
      </c>
      <c r="P806" t="str">
        <f>IF(OR(N806&lt;EDA!$H$1,N806&gt;EDA!$H$2),"Outlier","Normal")</f>
        <v>Normal</v>
      </c>
    </row>
    <row r="807" spans="1:16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  <c r="O807" t="str">
        <f t="shared" si="12"/>
        <v>SAVE10</v>
      </c>
      <c r="P807" t="str">
        <f>IF(OR(N807&lt;EDA!$H$1,N807&gt;EDA!$H$2),"Outlier","Normal")</f>
        <v>Normal</v>
      </c>
    </row>
    <row r="808" spans="1:16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  <c r="O808" t="str">
        <f t="shared" si="12"/>
        <v>WINTER15</v>
      </c>
      <c r="P808" t="str">
        <f>IF(OR(N808&lt;EDA!$H$1,N808&gt;EDA!$H$2),"Outlier","Normal")</f>
        <v>Normal</v>
      </c>
    </row>
    <row r="809" spans="1:16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  <c r="O809" t="str">
        <f t="shared" si="12"/>
        <v>SAVE10</v>
      </c>
      <c r="P809" t="str">
        <f>IF(OR(N809&lt;EDA!$H$1,N809&gt;EDA!$H$2),"Outlier","Normal")</f>
        <v>Normal</v>
      </c>
    </row>
    <row r="810" spans="1:16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5">
        <v>402.15</v>
      </c>
      <c r="O810" t="str">
        <f t="shared" si="12"/>
        <v>No Coupon</v>
      </c>
      <c r="P810" t="str">
        <f>IF(OR(N810&lt;EDA!$H$1,N810&gt;EDA!$H$2),"Outlier","Normal")</f>
        <v>Normal</v>
      </c>
    </row>
    <row r="811" spans="1:16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  <c r="O811" t="str">
        <f t="shared" si="12"/>
        <v>SAVE10</v>
      </c>
      <c r="P811" t="str">
        <f>IF(OR(N811&lt;EDA!$H$1,N811&gt;EDA!$H$2),"Outlier","Normal")</f>
        <v>Normal</v>
      </c>
    </row>
    <row r="812" spans="1:16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5">
        <v>553.55999999999995</v>
      </c>
      <c r="O812" t="str">
        <f t="shared" si="12"/>
        <v>No Coupon</v>
      </c>
      <c r="P812" t="str">
        <f>IF(OR(N812&lt;EDA!$H$1,N812&gt;EDA!$H$2),"Outlier","Normal")</f>
        <v>Normal</v>
      </c>
    </row>
    <row r="813" spans="1:16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  <c r="O813" t="str">
        <f t="shared" si="12"/>
        <v>SAVE10</v>
      </c>
      <c r="P813" t="str">
        <f>IF(OR(N813&lt;EDA!$H$1,N813&gt;EDA!$H$2),"Outlier","Normal")</f>
        <v>Normal</v>
      </c>
    </row>
    <row r="814" spans="1:16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  <c r="O814" t="str">
        <f t="shared" si="12"/>
        <v>FREESHIP</v>
      </c>
      <c r="P814" t="str">
        <f>IF(OR(N814&lt;EDA!$H$1,N814&gt;EDA!$H$2),"Outlier","Normal")</f>
        <v>Normal</v>
      </c>
    </row>
    <row r="815" spans="1:16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  <c r="O815" t="str">
        <f t="shared" si="12"/>
        <v>FREESHIP</v>
      </c>
      <c r="P815" t="str">
        <f>IF(OR(N815&lt;EDA!$H$1,N815&gt;EDA!$H$2),"Outlier","Normal")</f>
        <v>Normal</v>
      </c>
    </row>
    <row r="816" spans="1:16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  <c r="O816" t="str">
        <f t="shared" si="12"/>
        <v>WINTER15</v>
      </c>
      <c r="P816" t="str">
        <f>IF(OR(N816&lt;EDA!$H$1,N816&gt;EDA!$H$2),"Outlier","Normal")</f>
        <v>Normal</v>
      </c>
    </row>
    <row r="817" spans="1:16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  <c r="O817" t="str">
        <f t="shared" si="12"/>
        <v>WINTER15</v>
      </c>
      <c r="P817" t="str">
        <f>IF(OR(N817&lt;EDA!$H$1,N817&gt;EDA!$H$2),"Outlier","Normal")</f>
        <v>Normal</v>
      </c>
    </row>
    <row r="818" spans="1:16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  <c r="O818" t="str">
        <f t="shared" si="12"/>
        <v>WINTER15</v>
      </c>
      <c r="P818" t="str">
        <f>IF(OR(N818&lt;EDA!$H$1,N818&gt;EDA!$H$2),"Outlier","Normal")</f>
        <v>Normal</v>
      </c>
    </row>
    <row r="819" spans="1:16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  <c r="O819" t="str">
        <f t="shared" si="12"/>
        <v>WINTER15</v>
      </c>
      <c r="P819" t="str">
        <f>IF(OR(N819&lt;EDA!$H$1,N819&gt;EDA!$H$2),"Outlier","Normal")</f>
        <v>Normal</v>
      </c>
    </row>
    <row r="820" spans="1:16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  <c r="O820" t="str">
        <f t="shared" si="12"/>
        <v>WINTER15</v>
      </c>
      <c r="P820" t="str">
        <f>IF(OR(N820&lt;EDA!$H$1,N820&gt;EDA!$H$2),"Outlier","Normal")</f>
        <v>Normal</v>
      </c>
    </row>
    <row r="821" spans="1:16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  <c r="O821" t="str">
        <f t="shared" si="12"/>
        <v>SAVE10</v>
      </c>
      <c r="P821" t="str">
        <f>IF(OR(N821&lt;EDA!$H$1,N821&gt;EDA!$H$2),"Outlier","Normal")</f>
        <v>Normal</v>
      </c>
    </row>
    <row r="822" spans="1:16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  <c r="O822" t="str">
        <f t="shared" si="12"/>
        <v>FREESHIP</v>
      </c>
      <c r="P822" t="str">
        <f>IF(OR(N822&lt;EDA!$H$1,N822&gt;EDA!$H$2),"Outlier","Normal")</f>
        <v>Normal</v>
      </c>
    </row>
    <row r="823" spans="1:16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  <c r="O823" t="str">
        <f t="shared" si="12"/>
        <v>SAVE10</v>
      </c>
      <c r="P823" t="str">
        <f>IF(OR(N823&lt;EDA!$H$1,N823&gt;EDA!$H$2),"Outlier","Normal")</f>
        <v>Normal</v>
      </c>
    </row>
    <row r="824" spans="1:16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  <c r="O824" t="str">
        <f t="shared" si="12"/>
        <v>SAVE10</v>
      </c>
      <c r="P824" t="str">
        <f>IF(OR(N824&lt;EDA!$H$1,N824&gt;EDA!$H$2),"Outlier","Normal")</f>
        <v>Normal</v>
      </c>
    </row>
    <row r="825" spans="1:16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  <c r="O825" t="str">
        <f t="shared" si="12"/>
        <v>WINTER15</v>
      </c>
      <c r="P825" t="str">
        <f>IF(OR(N825&lt;EDA!$H$1,N825&gt;EDA!$H$2),"Outlier","Normal")</f>
        <v>Normal</v>
      </c>
    </row>
    <row r="826" spans="1:16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  <c r="O826" t="str">
        <f t="shared" si="12"/>
        <v>FREESHIP</v>
      </c>
      <c r="P826" t="str">
        <f>IF(OR(N826&lt;EDA!$H$1,N826&gt;EDA!$H$2),"Outlier","Normal")</f>
        <v>Normal</v>
      </c>
    </row>
    <row r="827" spans="1:16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  <c r="O827" t="str">
        <f t="shared" si="12"/>
        <v>FREESHIP</v>
      </c>
      <c r="P827" t="str">
        <f>IF(OR(N827&lt;EDA!$H$1,N827&gt;EDA!$H$2),"Outlier","Normal")</f>
        <v>Normal</v>
      </c>
    </row>
    <row r="828" spans="1:16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  <c r="O828" t="str">
        <f t="shared" si="12"/>
        <v>WINTER15</v>
      </c>
      <c r="P828" t="str">
        <f>IF(OR(N828&lt;EDA!$H$1,N828&gt;EDA!$H$2),"Outlier","Normal")</f>
        <v>Normal</v>
      </c>
    </row>
    <row r="829" spans="1:16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  <c r="O829" t="str">
        <f t="shared" si="12"/>
        <v>WINTER15</v>
      </c>
      <c r="P829" t="str">
        <f>IF(OR(N829&lt;EDA!$H$1,N829&gt;EDA!$H$2),"Outlier","Normal")</f>
        <v>Normal</v>
      </c>
    </row>
    <row r="830" spans="1:16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  <c r="O830" t="str">
        <f t="shared" si="12"/>
        <v>FREESHIP</v>
      </c>
      <c r="P830" t="str">
        <f>IF(OR(N830&lt;EDA!$H$1,N830&gt;EDA!$H$2),"Outlier","Normal")</f>
        <v>Normal</v>
      </c>
    </row>
    <row r="831" spans="1:16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  <c r="O831" t="str">
        <f t="shared" si="12"/>
        <v>WINTER15</v>
      </c>
      <c r="P831" t="str">
        <f>IF(OR(N831&lt;EDA!$H$1,N831&gt;EDA!$H$2),"Outlier","Normal")</f>
        <v>Normal</v>
      </c>
    </row>
    <row r="832" spans="1:16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  <c r="O832" t="str">
        <f t="shared" si="12"/>
        <v>SAVE10</v>
      </c>
      <c r="P832" t="str">
        <f>IF(OR(N832&lt;EDA!$H$1,N832&gt;EDA!$H$2),"Outlier","Normal")</f>
        <v>Normal</v>
      </c>
    </row>
    <row r="833" spans="1:16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5">
        <v>177.46</v>
      </c>
      <c r="O833" t="str">
        <f t="shared" si="12"/>
        <v>No Coupon</v>
      </c>
      <c r="P833" t="str">
        <f>IF(OR(N833&lt;EDA!$H$1,N833&gt;EDA!$H$2),"Outlier","Normal")</f>
        <v>Normal</v>
      </c>
    </row>
    <row r="834" spans="1:16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  <c r="O834" t="str">
        <f t="shared" si="12"/>
        <v>SAVE10</v>
      </c>
      <c r="P834" t="str">
        <f>IF(OR(N834&lt;EDA!$H$1,N834&gt;EDA!$H$2),"Outlier","Normal")</f>
        <v>Normal</v>
      </c>
    </row>
    <row r="835" spans="1:16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  <c r="O835" t="str">
        <f t="shared" ref="O835:O898" si="13">IF(L835="","No Coupon",L835)</f>
        <v>WINTER15</v>
      </c>
      <c r="P835" t="str">
        <f>IF(OR(N835&lt;EDA!$H$1,N835&gt;EDA!$H$2),"Outlier","Normal")</f>
        <v>Normal</v>
      </c>
    </row>
    <row r="836" spans="1:16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5">
        <v>110.7</v>
      </c>
      <c r="O836" t="str">
        <f t="shared" si="13"/>
        <v>No Coupon</v>
      </c>
      <c r="P836" t="str">
        <f>IF(OR(N836&lt;EDA!$H$1,N836&gt;EDA!$H$2),"Outlier","Normal")</f>
        <v>Normal</v>
      </c>
    </row>
    <row r="837" spans="1:16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  <c r="O837" t="str">
        <f t="shared" si="13"/>
        <v>FREESHIP</v>
      </c>
      <c r="P837" t="str">
        <f>IF(OR(N837&lt;EDA!$H$1,N837&gt;EDA!$H$2),"Outlier","Normal")</f>
        <v>Normal</v>
      </c>
    </row>
    <row r="838" spans="1:16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  <c r="O838" t="str">
        <f t="shared" si="13"/>
        <v>FREESHIP</v>
      </c>
      <c r="P838" t="str">
        <f>IF(OR(N838&lt;EDA!$H$1,N838&gt;EDA!$H$2),"Outlier","Normal")</f>
        <v>Normal</v>
      </c>
    </row>
    <row r="839" spans="1:16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5">
        <v>3277.75</v>
      </c>
      <c r="O839" t="str">
        <f t="shared" si="13"/>
        <v>No Coupon</v>
      </c>
      <c r="P839" t="str">
        <f>IF(OR(N839&lt;EDA!$H$1,N839&gt;EDA!$H$2),"Outlier","Normal")</f>
        <v>Normal</v>
      </c>
    </row>
    <row r="840" spans="1:16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5">
        <v>2308.3200000000002</v>
      </c>
      <c r="O840" t="str">
        <f t="shared" si="13"/>
        <v>No Coupon</v>
      </c>
      <c r="P840" t="str">
        <f>IF(OR(N840&lt;EDA!$H$1,N840&gt;EDA!$H$2),"Outlier","Normal")</f>
        <v>Normal</v>
      </c>
    </row>
    <row r="841" spans="1:16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5">
        <v>593.91</v>
      </c>
      <c r="O841" t="str">
        <f t="shared" si="13"/>
        <v>No Coupon</v>
      </c>
      <c r="P841" t="str">
        <f>IF(OR(N841&lt;EDA!$H$1,N841&gt;EDA!$H$2),"Outlier","Normal")</f>
        <v>Normal</v>
      </c>
    </row>
    <row r="842" spans="1:16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  <c r="O842" t="str">
        <f t="shared" si="13"/>
        <v>FREESHIP</v>
      </c>
      <c r="P842" t="str">
        <f>IF(OR(N842&lt;EDA!$H$1,N842&gt;EDA!$H$2),"Outlier","Normal")</f>
        <v>Normal</v>
      </c>
    </row>
    <row r="843" spans="1:16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5">
        <v>886.44</v>
      </c>
      <c r="O843" t="str">
        <f t="shared" si="13"/>
        <v>No Coupon</v>
      </c>
      <c r="P843" t="str">
        <f>IF(OR(N843&lt;EDA!$H$1,N843&gt;EDA!$H$2),"Outlier","Normal")</f>
        <v>Normal</v>
      </c>
    </row>
    <row r="844" spans="1:16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  <c r="O844" t="str">
        <f t="shared" si="13"/>
        <v>WINTER15</v>
      </c>
      <c r="P844" t="str">
        <f>IF(OR(N844&lt;EDA!$H$1,N844&gt;EDA!$H$2),"Outlier","Normal")</f>
        <v>Normal</v>
      </c>
    </row>
    <row r="845" spans="1:16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  <c r="O845" t="str">
        <f t="shared" si="13"/>
        <v>FREESHIP</v>
      </c>
      <c r="P845" t="str">
        <f>IF(OR(N845&lt;EDA!$H$1,N845&gt;EDA!$H$2),"Outlier","Normal")</f>
        <v>Normal</v>
      </c>
    </row>
    <row r="846" spans="1:16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  <c r="O846" t="str">
        <f t="shared" si="13"/>
        <v>FREESHIP</v>
      </c>
      <c r="P846" t="str">
        <f>IF(OR(N846&lt;EDA!$H$1,N846&gt;EDA!$H$2),"Outlier","Normal")</f>
        <v>Normal</v>
      </c>
    </row>
    <row r="847" spans="1:16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  <c r="O847" t="str">
        <f t="shared" si="13"/>
        <v>FREESHIP</v>
      </c>
      <c r="P847" t="str">
        <f>IF(OR(N847&lt;EDA!$H$1,N847&gt;EDA!$H$2),"Outlier","Normal")</f>
        <v>Normal</v>
      </c>
    </row>
    <row r="848" spans="1:16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5">
        <v>719.72</v>
      </c>
      <c r="O848" t="str">
        <f t="shared" si="13"/>
        <v>No Coupon</v>
      </c>
      <c r="P848" t="str">
        <f>IF(OR(N848&lt;EDA!$H$1,N848&gt;EDA!$H$2),"Outlier","Normal")</f>
        <v>Normal</v>
      </c>
    </row>
    <row r="849" spans="1:16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  <c r="O849" t="str">
        <f t="shared" si="13"/>
        <v>FREESHIP</v>
      </c>
      <c r="P849" t="str">
        <f>IF(OR(N849&lt;EDA!$H$1,N849&gt;EDA!$H$2),"Outlier","Normal")</f>
        <v>Normal</v>
      </c>
    </row>
    <row r="850" spans="1:16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5">
        <v>1291.7</v>
      </c>
      <c r="O850" t="str">
        <f t="shared" si="13"/>
        <v>No Coupon</v>
      </c>
      <c r="P850" t="str">
        <f>IF(OR(N850&lt;EDA!$H$1,N850&gt;EDA!$H$2),"Outlier","Normal")</f>
        <v>Normal</v>
      </c>
    </row>
    <row r="851" spans="1:16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  <c r="O851" t="str">
        <f t="shared" si="13"/>
        <v>WINTER15</v>
      </c>
      <c r="P851" t="str">
        <f>IF(OR(N851&lt;EDA!$H$1,N851&gt;EDA!$H$2),"Outlier","Normal")</f>
        <v>Normal</v>
      </c>
    </row>
    <row r="852" spans="1:16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  <c r="O852" t="str">
        <f t="shared" si="13"/>
        <v>FREESHIP</v>
      </c>
      <c r="P852" t="str">
        <f>IF(OR(N852&lt;EDA!$H$1,N852&gt;EDA!$H$2),"Outlier","Normal")</f>
        <v>Normal</v>
      </c>
    </row>
    <row r="853" spans="1:16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  <c r="O853" t="str">
        <f t="shared" si="13"/>
        <v>SAVE10</v>
      </c>
      <c r="P853" t="str">
        <f>IF(OR(N853&lt;EDA!$H$1,N853&gt;EDA!$H$2),"Outlier","Normal")</f>
        <v>Normal</v>
      </c>
    </row>
    <row r="854" spans="1:16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  <c r="O854" t="str">
        <f t="shared" si="13"/>
        <v>SAVE10</v>
      </c>
      <c r="P854" t="str">
        <f>IF(OR(N854&lt;EDA!$H$1,N854&gt;EDA!$H$2),"Outlier","Normal")</f>
        <v>Normal</v>
      </c>
    </row>
    <row r="855" spans="1:16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  <c r="O855" t="str">
        <f t="shared" si="13"/>
        <v>SAVE10</v>
      </c>
      <c r="P855" t="str">
        <f>IF(OR(N855&lt;EDA!$H$1,N855&gt;EDA!$H$2),"Outlier","Normal")</f>
        <v>Normal</v>
      </c>
    </row>
    <row r="856" spans="1:16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  <c r="O856" t="str">
        <f t="shared" si="13"/>
        <v>WINTER15</v>
      </c>
      <c r="P856" t="str">
        <f>IF(OR(N856&lt;EDA!$H$1,N856&gt;EDA!$H$2),"Outlier","Normal")</f>
        <v>Normal</v>
      </c>
    </row>
    <row r="857" spans="1:16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  <c r="O857" t="str">
        <f t="shared" si="13"/>
        <v>FREESHIP</v>
      </c>
      <c r="P857" t="str">
        <f>IF(OR(N857&lt;EDA!$H$1,N857&gt;EDA!$H$2),"Outlier","Normal")</f>
        <v>Normal</v>
      </c>
    </row>
    <row r="858" spans="1:16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5">
        <v>586.62</v>
      </c>
      <c r="O858" t="str">
        <f t="shared" si="13"/>
        <v>No Coupon</v>
      </c>
      <c r="P858" t="str">
        <f>IF(OR(N858&lt;EDA!$H$1,N858&gt;EDA!$H$2),"Outlier","Normal")</f>
        <v>Normal</v>
      </c>
    </row>
    <row r="859" spans="1:16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5">
        <v>773.52</v>
      </c>
      <c r="O859" t="str">
        <f t="shared" si="13"/>
        <v>No Coupon</v>
      </c>
      <c r="P859" t="str">
        <f>IF(OR(N859&lt;EDA!$H$1,N859&gt;EDA!$H$2),"Outlier","Normal")</f>
        <v>Normal</v>
      </c>
    </row>
    <row r="860" spans="1:16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5">
        <v>2178.3000000000002</v>
      </c>
      <c r="O860" t="str">
        <f t="shared" si="13"/>
        <v>No Coupon</v>
      </c>
      <c r="P860" t="str">
        <f>IF(OR(N860&lt;EDA!$H$1,N860&gt;EDA!$H$2),"Outlier","Normal")</f>
        <v>Normal</v>
      </c>
    </row>
    <row r="861" spans="1:16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  <c r="O861" t="str">
        <f t="shared" si="13"/>
        <v>SAVE10</v>
      </c>
      <c r="P861" t="str">
        <f>IF(OR(N861&lt;EDA!$H$1,N861&gt;EDA!$H$2),"Outlier","Normal")</f>
        <v>Normal</v>
      </c>
    </row>
    <row r="862" spans="1:16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  <c r="O862" t="str">
        <f t="shared" si="13"/>
        <v>SAVE10</v>
      </c>
      <c r="P862" t="str">
        <f>IF(OR(N862&lt;EDA!$H$1,N862&gt;EDA!$H$2),"Outlier","Normal")</f>
        <v>Normal</v>
      </c>
    </row>
    <row r="863" spans="1:16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  <c r="O863" t="str">
        <f t="shared" si="13"/>
        <v>FREESHIP</v>
      </c>
      <c r="P863" t="str">
        <f>IF(OR(N863&lt;EDA!$H$1,N863&gt;EDA!$H$2),"Outlier","Normal")</f>
        <v>Normal</v>
      </c>
    </row>
    <row r="864" spans="1:16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  <c r="O864" t="str">
        <f t="shared" si="13"/>
        <v>SAVE10</v>
      </c>
      <c r="P864" t="str">
        <f>IF(OR(N864&lt;EDA!$H$1,N864&gt;EDA!$H$2),"Outlier","Normal")</f>
        <v>Normal</v>
      </c>
    </row>
    <row r="865" spans="1:16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  <c r="O865" t="str">
        <f t="shared" si="13"/>
        <v>SAVE10</v>
      </c>
      <c r="P865" t="str">
        <f>IF(OR(N865&lt;EDA!$H$1,N865&gt;EDA!$H$2),"Outlier","Normal")</f>
        <v>Normal</v>
      </c>
    </row>
    <row r="866" spans="1:16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  <c r="O866" t="str">
        <f t="shared" si="13"/>
        <v>SAVE10</v>
      </c>
      <c r="P866" t="str">
        <f>IF(OR(N866&lt;EDA!$H$1,N866&gt;EDA!$H$2),"Outlier","Normal")</f>
        <v>Normal</v>
      </c>
    </row>
    <row r="867" spans="1:16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  <c r="O867" t="str">
        <f t="shared" si="13"/>
        <v>SAVE10</v>
      </c>
      <c r="P867" t="str">
        <f>IF(OR(N867&lt;EDA!$H$1,N867&gt;EDA!$H$2),"Outlier","Normal")</f>
        <v>Normal</v>
      </c>
    </row>
    <row r="868" spans="1:16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  <c r="O868" t="str">
        <f t="shared" si="13"/>
        <v>WINTER15</v>
      </c>
      <c r="P868" t="str">
        <f>IF(OR(N868&lt;EDA!$H$1,N868&gt;EDA!$H$2),"Outlier","Normal")</f>
        <v>Normal</v>
      </c>
    </row>
    <row r="869" spans="1:16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  <c r="O869" t="str">
        <f t="shared" si="13"/>
        <v>FREESHIP</v>
      </c>
      <c r="P869" t="str">
        <f>IF(OR(N869&lt;EDA!$H$1,N869&gt;EDA!$H$2),"Outlier","Normal")</f>
        <v>Normal</v>
      </c>
    </row>
    <row r="870" spans="1:16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5">
        <v>1265.28</v>
      </c>
      <c r="O870" t="str">
        <f t="shared" si="13"/>
        <v>No Coupon</v>
      </c>
      <c r="P870" t="str">
        <f>IF(OR(N870&lt;EDA!$H$1,N870&gt;EDA!$H$2),"Outlier","Normal")</f>
        <v>Normal</v>
      </c>
    </row>
    <row r="871" spans="1:16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  <c r="O871" t="str">
        <f t="shared" si="13"/>
        <v>WINTER15</v>
      </c>
      <c r="P871" t="str">
        <f>IF(OR(N871&lt;EDA!$H$1,N871&gt;EDA!$H$2),"Outlier","Normal")</f>
        <v>Normal</v>
      </c>
    </row>
    <row r="872" spans="1:16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  <c r="O872" t="str">
        <f t="shared" si="13"/>
        <v>FREESHIP</v>
      </c>
      <c r="P872" t="str">
        <f>IF(OR(N872&lt;EDA!$H$1,N872&gt;EDA!$H$2),"Outlier","Normal")</f>
        <v>Normal</v>
      </c>
    </row>
    <row r="873" spans="1:16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  <c r="O873" t="str">
        <f t="shared" si="13"/>
        <v>FREESHIP</v>
      </c>
      <c r="P873" t="str">
        <f>IF(OR(N873&lt;EDA!$H$1,N873&gt;EDA!$H$2),"Outlier","Normal")</f>
        <v>Normal</v>
      </c>
    </row>
    <row r="874" spans="1:16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5">
        <v>2517.36</v>
      </c>
      <c r="O874" t="str">
        <f t="shared" si="13"/>
        <v>No Coupon</v>
      </c>
      <c r="P874" t="str">
        <f>IF(OR(N874&lt;EDA!$H$1,N874&gt;EDA!$H$2),"Outlier","Normal")</f>
        <v>Normal</v>
      </c>
    </row>
    <row r="875" spans="1:16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  <c r="O875" t="str">
        <f t="shared" si="13"/>
        <v>SAVE10</v>
      </c>
      <c r="P875" t="str">
        <f>IF(OR(N875&lt;EDA!$H$1,N875&gt;EDA!$H$2),"Outlier","Normal")</f>
        <v>Normal</v>
      </c>
    </row>
    <row r="876" spans="1:16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  <c r="O876" t="str">
        <f t="shared" si="13"/>
        <v>FREESHIP</v>
      </c>
      <c r="P876" t="str">
        <f>IF(OR(N876&lt;EDA!$H$1,N876&gt;EDA!$H$2),"Outlier","Normal")</f>
        <v>Normal</v>
      </c>
    </row>
    <row r="877" spans="1:16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  <c r="O877" t="str">
        <f t="shared" si="13"/>
        <v>FREESHIP</v>
      </c>
      <c r="P877" t="str">
        <f>IF(OR(N877&lt;EDA!$H$1,N877&gt;EDA!$H$2),"Outlier","Normal")</f>
        <v>Normal</v>
      </c>
    </row>
    <row r="878" spans="1:16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  <c r="O878" t="str">
        <f t="shared" si="13"/>
        <v>SAVE10</v>
      </c>
      <c r="P878" t="str">
        <f>IF(OR(N878&lt;EDA!$H$1,N878&gt;EDA!$H$2),"Outlier","Normal")</f>
        <v>Normal</v>
      </c>
    </row>
    <row r="879" spans="1:16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  <c r="O879" t="str">
        <f t="shared" si="13"/>
        <v>FREESHIP</v>
      </c>
      <c r="P879" t="str">
        <f>IF(OR(N879&lt;EDA!$H$1,N879&gt;EDA!$H$2),"Outlier","Normal")</f>
        <v>Normal</v>
      </c>
    </row>
    <row r="880" spans="1:16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  <c r="O880" t="str">
        <f t="shared" si="13"/>
        <v>SAVE10</v>
      </c>
      <c r="P880" t="str">
        <f>IF(OR(N880&lt;EDA!$H$1,N880&gt;EDA!$H$2),"Outlier","Normal")</f>
        <v>Normal</v>
      </c>
    </row>
    <row r="881" spans="1:16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5">
        <v>1095.3399999999999</v>
      </c>
      <c r="O881" t="str">
        <f t="shared" si="13"/>
        <v>No Coupon</v>
      </c>
      <c r="P881" t="str">
        <f>IF(OR(N881&lt;EDA!$H$1,N881&gt;EDA!$H$2),"Outlier","Normal")</f>
        <v>Normal</v>
      </c>
    </row>
    <row r="882" spans="1:16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  <c r="O882" t="str">
        <f t="shared" si="13"/>
        <v>SAVE10</v>
      </c>
      <c r="P882" t="str">
        <f>IF(OR(N882&lt;EDA!$H$1,N882&gt;EDA!$H$2),"Outlier","Normal")</f>
        <v>Normal</v>
      </c>
    </row>
    <row r="883" spans="1:16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5">
        <v>897.7</v>
      </c>
      <c r="O883" t="str">
        <f t="shared" si="13"/>
        <v>No Coupon</v>
      </c>
      <c r="P883" t="str">
        <f>IF(OR(N883&lt;EDA!$H$1,N883&gt;EDA!$H$2),"Outlier","Normal")</f>
        <v>Normal</v>
      </c>
    </row>
    <row r="884" spans="1:16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  <c r="O884" t="str">
        <f t="shared" si="13"/>
        <v>FREESHIP</v>
      </c>
      <c r="P884" t="str">
        <f>IF(OR(N884&lt;EDA!$H$1,N884&gt;EDA!$H$2),"Outlier","Normal")</f>
        <v>Normal</v>
      </c>
    </row>
    <row r="885" spans="1:16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  <c r="O885" t="str">
        <f t="shared" si="13"/>
        <v>FREESHIP</v>
      </c>
      <c r="P885" t="str">
        <f>IF(OR(N885&lt;EDA!$H$1,N885&gt;EDA!$H$2),"Outlier","Normal")</f>
        <v>Normal</v>
      </c>
    </row>
    <row r="886" spans="1:16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5">
        <v>595.54</v>
      </c>
      <c r="O886" t="str">
        <f t="shared" si="13"/>
        <v>No Coupon</v>
      </c>
      <c r="P886" t="str">
        <f>IF(OR(N886&lt;EDA!$H$1,N886&gt;EDA!$H$2),"Outlier","Normal")</f>
        <v>Normal</v>
      </c>
    </row>
    <row r="887" spans="1:16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  <c r="O887" t="str">
        <f t="shared" si="13"/>
        <v>FREESHIP</v>
      </c>
      <c r="P887" t="str">
        <f>IF(OR(N887&lt;EDA!$H$1,N887&gt;EDA!$H$2),"Outlier","Normal")</f>
        <v>Normal</v>
      </c>
    </row>
    <row r="888" spans="1:16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5">
        <v>460.13</v>
      </c>
      <c r="O888" t="str">
        <f t="shared" si="13"/>
        <v>No Coupon</v>
      </c>
      <c r="P888" t="str">
        <f>IF(OR(N888&lt;EDA!$H$1,N888&gt;EDA!$H$2),"Outlier","Normal")</f>
        <v>Normal</v>
      </c>
    </row>
    <row r="889" spans="1:16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5">
        <v>514.98</v>
      </c>
      <c r="O889" t="str">
        <f t="shared" si="13"/>
        <v>No Coupon</v>
      </c>
      <c r="P889" t="str">
        <f>IF(OR(N889&lt;EDA!$H$1,N889&gt;EDA!$H$2),"Outlier","Normal")</f>
        <v>Normal</v>
      </c>
    </row>
    <row r="890" spans="1:16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5">
        <v>533.9</v>
      </c>
      <c r="O890" t="str">
        <f t="shared" si="13"/>
        <v>No Coupon</v>
      </c>
      <c r="P890" t="str">
        <f>IF(OR(N890&lt;EDA!$H$1,N890&gt;EDA!$H$2),"Outlier","Normal")</f>
        <v>Normal</v>
      </c>
    </row>
    <row r="891" spans="1:16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  <c r="O891" t="str">
        <f t="shared" si="13"/>
        <v>WINTER15</v>
      </c>
      <c r="P891" t="str">
        <f>IF(OR(N891&lt;EDA!$H$1,N891&gt;EDA!$H$2),"Outlier","Normal")</f>
        <v>Normal</v>
      </c>
    </row>
    <row r="892" spans="1:16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5">
        <v>1318.59</v>
      </c>
      <c r="O892" t="str">
        <f t="shared" si="13"/>
        <v>No Coupon</v>
      </c>
      <c r="P892" t="str">
        <f>IF(OR(N892&lt;EDA!$H$1,N892&gt;EDA!$H$2),"Outlier","Normal")</f>
        <v>Normal</v>
      </c>
    </row>
    <row r="893" spans="1:16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  <c r="O893" t="str">
        <f t="shared" si="13"/>
        <v>SAVE10</v>
      </c>
      <c r="P893" t="str">
        <f>IF(OR(N893&lt;EDA!$H$1,N893&gt;EDA!$H$2),"Outlier","Normal")</f>
        <v>Normal</v>
      </c>
    </row>
    <row r="894" spans="1:16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  <c r="O894" t="str">
        <f t="shared" si="13"/>
        <v>FREESHIP</v>
      </c>
      <c r="P894" t="str">
        <f>IF(OR(N894&lt;EDA!$H$1,N894&gt;EDA!$H$2),"Outlier","Normal")</f>
        <v>Normal</v>
      </c>
    </row>
    <row r="895" spans="1:16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  <c r="O895" t="str">
        <f t="shared" si="13"/>
        <v>FREESHIP</v>
      </c>
      <c r="P895" t="str">
        <f>IF(OR(N895&lt;EDA!$H$1,N895&gt;EDA!$H$2),"Outlier","Normal")</f>
        <v>Normal</v>
      </c>
    </row>
    <row r="896" spans="1:16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  <c r="O896" t="str">
        <f t="shared" si="13"/>
        <v>WINTER15</v>
      </c>
      <c r="P896" t="str">
        <f>IF(OR(N896&lt;EDA!$H$1,N896&gt;EDA!$H$2),"Outlier","Normal")</f>
        <v>Normal</v>
      </c>
    </row>
    <row r="897" spans="1:16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  <c r="O897" t="str">
        <f t="shared" si="13"/>
        <v>WINTER15</v>
      </c>
      <c r="P897" t="str">
        <f>IF(OR(N897&lt;EDA!$H$1,N897&gt;EDA!$H$2),"Outlier","Normal")</f>
        <v>Normal</v>
      </c>
    </row>
    <row r="898" spans="1:16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  <c r="O898" t="str">
        <f t="shared" si="13"/>
        <v>FREESHIP</v>
      </c>
      <c r="P898" t="str">
        <f>IF(OR(N898&lt;EDA!$H$1,N898&gt;EDA!$H$2),"Outlier","Normal")</f>
        <v>Normal</v>
      </c>
    </row>
    <row r="899" spans="1:16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  <c r="O899" t="str">
        <f t="shared" ref="O899:O962" si="14">IF(L899="","No Coupon",L899)</f>
        <v>SAVE10</v>
      </c>
      <c r="P899" t="str">
        <f>IF(OR(N899&lt;EDA!$H$1,N899&gt;EDA!$H$2),"Outlier","Normal")</f>
        <v>Normal</v>
      </c>
    </row>
    <row r="900" spans="1:16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5">
        <v>475.11</v>
      </c>
      <c r="O900" t="str">
        <f t="shared" si="14"/>
        <v>No Coupon</v>
      </c>
      <c r="P900" t="str">
        <f>IF(OR(N900&lt;EDA!$H$1,N900&gt;EDA!$H$2),"Outlier","Normal")</f>
        <v>Normal</v>
      </c>
    </row>
    <row r="901" spans="1:16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  <c r="O901" t="str">
        <f t="shared" si="14"/>
        <v>SAVE10</v>
      </c>
      <c r="P901" t="str">
        <f>IF(OR(N901&lt;EDA!$H$1,N901&gt;EDA!$H$2),"Outlier","Normal")</f>
        <v>Normal</v>
      </c>
    </row>
    <row r="902" spans="1:16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5">
        <v>369.15</v>
      </c>
      <c r="O902" t="str">
        <f t="shared" si="14"/>
        <v>No Coupon</v>
      </c>
      <c r="P902" t="str">
        <f>IF(OR(N902&lt;EDA!$H$1,N902&gt;EDA!$H$2),"Outlier","Normal")</f>
        <v>Normal</v>
      </c>
    </row>
    <row r="903" spans="1:16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  <c r="O903" t="str">
        <f t="shared" si="14"/>
        <v>WINTER15</v>
      </c>
      <c r="P903" t="str">
        <f>IF(OR(N903&lt;EDA!$H$1,N903&gt;EDA!$H$2),"Outlier","Normal")</f>
        <v>Normal</v>
      </c>
    </row>
    <row r="904" spans="1:16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5">
        <v>721</v>
      </c>
      <c r="O904" t="str">
        <f t="shared" si="14"/>
        <v>No Coupon</v>
      </c>
      <c r="P904" t="str">
        <f>IF(OR(N904&lt;EDA!$H$1,N904&gt;EDA!$H$2),"Outlier","Normal")</f>
        <v>Normal</v>
      </c>
    </row>
    <row r="905" spans="1:16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5">
        <v>1420.47</v>
      </c>
      <c r="O905" t="str">
        <f t="shared" si="14"/>
        <v>No Coupon</v>
      </c>
      <c r="P905" t="str">
        <f>IF(OR(N905&lt;EDA!$H$1,N905&gt;EDA!$H$2),"Outlier","Normal")</f>
        <v>Normal</v>
      </c>
    </row>
    <row r="906" spans="1:16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  <c r="O906" t="str">
        <f t="shared" si="14"/>
        <v>WINTER15</v>
      </c>
      <c r="P906" t="str">
        <f>IF(OR(N906&lt;EDA!$H$1,N906&gt;EDA!$H$2),"Outlier","Normal")</f>
        <v>Normal</v>
      </c>
    </row>
    <row r="907" spans="1:16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  <c r="O907" t="str">
        <f t="shared" si="14"/>
        <v>FREESHIP</v>
      </c>
      <c r="P907" t="str">
        <f>IF(OR(N907&lt;EDA!$H$1,N907&gt;EDA!$H$2),"Outlier","Normal")</f>
        <v>Normal</v>
      </c>
    </row>
    <row r="908" spans="1:16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5">
        <v>62.12</v>
      </c>
      <c r="O908" t="str">
        <f t="shared" si="14"/>
        <v>No Coupon</v>
      </c>
      <c r="P908" t="str">
        <f>IF(OR(N908&lt;EDA!$H$1,N908&gt;EDA!$H$2),"Outlier","Normal")</f>
        <v>Normal</v>
      </c>
    </row>
    <row r="909" spans="1:16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  <c r="O909" t="str">
        <f t="shared" si="14"/>
        <v>WINTER15</v>
      </c>
      <c r="P909" t="str">
        <f>IF(OR(N909&lt;EDA!$H$1,N909&gt;EDA!$H$2),"Outlier","Normal")</f>
        <v>Normal</v>
      </c>
    </row>
    <row r="910" spans="1:16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  <c r="O910" t="str">
        <f t="shared" si="14"/>
        <v>SAVE10</v>
      </c>
      <c r="P910" t="str">
        <f>IF(OR(N910&lt;EDA!$H$1,N910&gt;EDA!$H$2),"Outlier","Normal")</f>
        <v>Normal</v>
      </c>
    </row>
    <row r="911" spans="1:16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  <c r="O911" t="str">
        <f t="shared" si="14"/>
        <v>FREESHIP</v>
      </c>
      <c r="P911" t="str">
        <f>IF(OR(N911&lt;EDA!$H$1,N911&gt;EDA!$H$2),"Outlier","Normal")</f>
        <v>Normal</v>
      </c>
    </row>
    <row r="912" spans="1:16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  <c r="O912" t="str">
        <f t="shared" si="14"/>
        <v>SAVE10</v>
      </c>
      <c r="P912" t="str">
        <f>IF(OR(N912&lt;EDA!$H$1,N912&gt;EDA!$H$2),"Outlier","Normal")</f>
        <v>Normal</v>
      </c>
    </row>
    <row r="913" spans="1:16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  <c r="O913" t="str">
        <f t="shared" si="14"/>
        <v>SAVE10</v>
      </c>
      <c r="P913" t="str">
        <f>IF(OR(N913&lt;EDA!$H$1,N913&gt;EDA!$H$2),"Outlier","Normal")</f>
        <v>Normal</v>
      </c>
    </row>
    <row r="914" spans="1:16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  <c r="O914" t="str">
        <f t="shared" si="14"/>
        <v>FREESHIP</v>
      </c>
      <c r="P914" t="str">
        <f>IF(OR(N914&lt;EDA!$H$1,N914&gt;EDA!$H$2),"Outlier","Normal")</f>
        <v>Normal</v>
      </c>
    </row>
    <row r="915" spans="1:16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  <c r="O915" t="str">
        <f t="shared" si="14"/>
        <v>WINTER15</v>
      </c>
      <c r="P915" t="str">
        <f>IF(OR(N915&lt;EDA!$H$1,N915&gt;EDA!$H$2),"Outlier","Normal")</f>
        <v>Normal</v>
      </c>
    </row>
    <row r="916" spans="1:16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  <c r="O916" t="str">
        <f t="shared" si="14"/>
        <v>WINTER15</v>
      </c>
      <c r="P916" t="str">
        <f>IF(OR(N916&lt;EDA!$H$1,N916&gt;EDA!$H$2),"Outlier","Normal")</f>
        <v>Normal</v>
      </c>
    </row>
    <row r="917" spans="1:16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  <c r="O917" t="str">
        <f t="shared" si="14"/>
        <v>WINTER15</v>
      </c>
      <c r="P917" t="str">
        <f>IF(OR(N917&lt;EDA!$H$1,N917&gt;EDA!$H$2),"Outlier","Normal")</f>
        <v>Normal</v>
      </c>
    </row>
    <row r="918" spans="1:16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5">
        <v>2894.15</v>
      </c>
      <c r="O918" t="str">
        <f t="shared" si="14"/>
        <v>No Coupon</v>
      </c>
      <c r="P918" t="str">
        <f>IF(OR(N918&lt;EDA!$H$1,N918&gt;EDA!$H$2),"Outlier","Normal")</f>
        <v>Normal</v>
      </c>
    </row>
    <row r="919" spans="1:16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  <c r="O919" t="str">
        <f t="shared" si="14"/>
        <v>FREESHIP</v>
      </c>
      <c r="P919" t="str">
        <f>IF(OR(N919&lt;EDA!$H$1,N919&gt;EDA!$H$2),"Outlier","Normal")</f>
        <v>Normal</v>
      </c>
    </row>
    <row r="920" spans="1:16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5">
        <v>1841.25</v>
      </c>
      <c r="O920" t="str">
        <f t="shared" si="14"/>
        <v>No Coupon</v>
      </c>
      <c r="P920" t="str">
        <f>IF(OR(N920&lt;EDA!$H$1,N920&gt;EDA!$H$2),"Outlier","Normal")</f>
        <v>Normal</v>
      </c>
    </row>
    <row r="921" spans="1:16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  <c r="O921" t="str">
        <f t="shared" si="14"/>
        <v>FREESHIP</v>
      </c>
      <c r="P921" t="str">
        <f>IF(OR(N921&lt;EDA!$H$1,N921&gt;EDA!$H$2),"Outlier","Normal")</f>
        <v>Normal</v>
      </c>
    </row>
    <row r="922" spans="1:16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5">
        <v>856.18</v>
      </c>
      <c r="O922" t="str">
        <f t="shared" si="14"/>
        <v>No Coupon</v>
      </c>
      <c r="P922" t="str">
        <f>IF(OR(N922&lt;EDA!$H$1,N922&gt;EDA!$H$2),"Outlier","Normal")</f>
        <v>Normal</v>
      </c>
    </row>
    <row r="923" spans="1:16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  <c r="O923" t="str">
        <f t="shared" si="14"/>
        <v>SAVE10</v>
      </c>
      <c r="P923" t="str">
        <f>IF(OR(N923&lt;EDA!$H$1,N923&gt;EDA!$H$2),"Outlier","Normal")</f>
        <v>Normal</v>
      </c>
    </row>
    <row r="924" spans="1:16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5">
        <v>1127.6400000000001</v>
      </c>
      <c r="O924" t="str">
        <f t="shared" si="14"/>
        <v>No Coupon</v>
      </c>
      <c r="P924" t="str">
        <f>IF(OR(N924&lt;EDA!$H$1,N924&gt;EDA!$H$2),"Outlier","Normal")</f>
        <v>Normal</v>
      </c>
    </row>
    <row r="925" spans="1:16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  <c r="O925" t="str">
        <f t="shared" si="14"/>
        <v>WINTER15</v>
      </c>
      <c r="P925" t="str">
        <f>IF(OR(N925&lt;EDA!$H$1,N925&gt;EDA!$H$2),"Outlier","Normal")</f>
        <v>Normal</v>
      </c>
    </row>
    <row r="926" spans="1:16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  <c r="O926" t="str">
        <f t="shared" si="14"/>
        <v>SAVE10</v>
      </c>
      <c r="P926" t="str">
        <f>IF(OR(N926&lt;EDA!$H$1,N926&gt;EDA!$H$2),"Outlier","Normal")</f>
        <v>Normal</v>
      </c>
    </row>
    <row r="927" spans="1:16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  <c r="O927" t="str">
        <f t="shared" si="14"/>
        <v>WINTER15</v>
      </c>
      <c r="P927" t="str">
        <f>IF(OR(N927&lt;EDA!$H$1,N927&gt;EDA!$H$2),"Outlier","Normal")</f>
        <v>Normal</v>
      </c>
    </row>
    <row r="928" spans="1:16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  <c r="O928" t="str">
        <f t="shared" si="14"/>
        <v>WINTER15</v>
      </c>
      <c r="P928" t="str">
        <f>IF(OR(N928&lt;EDA!$H$1,N928&gt;EDA!$H$2),"Outlier","Normal")</f>
        <v>Normal</v>
      </c>
    </row>
    <row r="929" spans="1:16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  <c r="O929" t="str">
        <f t="shared" si="14"/>
        <v>WINTER15</v>
      </c>
      <c r="P929" t="str">
        <f>IF(OR(N929&lt;EDA!$H$1,N929&gt;EDA!$H$2),"Outlier","Normal")</f>
        <v>Normal</v>
      </c>
    </row>
    <row r="930" spans="1:16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  <c r="O930" t="str">
        <f t="shared" si="14"/>
        <v>WINTER15</v>
      </c>
      <c r="P930" t="str">
        <f>IF(OR(N930&lt;EDA!$H$1,N930&gt;EDA!$H$2),"Outlier","Normal")</f>
        <v>Normal</v>
      </c>
    </row>
    <row r="931" spans="1:16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5">
        <v>1072.5</v>
      </c>
      <c r="O931" t="str">
        <f t="shared" si="14"/>
        <v>No Coupon</v>
      </c>
      <c r="P931" t="str">
        <f>IF(OR(N931&lt;EDA!$H$1,N931&gt;EDA!$H$2),"Outlier","Normal")</f>
        <v>Normal</v>
      </c>
    </row>
    <row r="932" spans="1:16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  <c r="O932" t="str">
        <f t="shared" si="14"/>
        <v>FREESHIP</v>
      </c>
      <c r="P932" t="str">
        <f>IF(OR(N932&lt;EDA!$H$1,N932&gt;EDA!$H$2),"Outlier","Normal")</f>
        <v>Normal</v>
      </c>
    </row>
    <row r="933" spans="1:16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  <c r="O933" t="str">
        <f t="shared" si="14"/>
        <v>SAVE10</v>
      </c>
      <c r="P933" t="str">
        <f>IF(OR(N933&lt;EDA!$H$1,N933&gt;EDA!$H$2),"Outlier","Normal")</f>
        <v>Normal</v>
      </c>
    </row>
    <row r="934" spans="1:16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  <c r="O934" t="str">
        <f t="shared" si="14"/>
        <v>WINTER15</v>
      </c>
      <c r="P934" t="str">
        <f>IF(OR(N934&lt;EDA!$H$1,N934&gt;EDA!$H$2),"Outlier","Normal")</f>
        <v>Normal</v>
      </c>
    </row>
    <row r="935" spans="1:16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5">
        <v>788.32</v>
      </c>
      <c r="O935" t="str">
        <f t="shared" si="14"/>
        <v>No Coupon</v>
      </c>
      <c r="P935" t="str">
        <f>IF(OR(N935&lt;EDA!$H$1,N935&gt;EDA!$H$2),"Outlier","Normal")</f>
        <v>Normal</v>
      </c>
    </row>
    <row r="936" spans="1:16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  <c r="O936" t="str">
        <f t="shared" si="14"/>
        <v>FREESHIP</v>
      </c>
      <c r="P936" t="str">
        <f>IF(OR(N936&lt;EDA!$H$1,N936&gt;EDA!$H$2),"Outlier","Normal")</f>
        <v>Normal</v>
      </c>
    </row>
    <row r="937" spans="1:16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  <c r="O937" t="str">
        <f t="shared" si="14"/>
        <v>FREESHIP</v>
      </c>
      <c r="P937" t="str">
        <f>IF(OR(N937&lt;EDA!$H$1,N937&gt;EDA!$H$2),"Outlier","Normal")</f>
        <v>Normal</v>
      </c>
    </row>
    <row r="938" spans="1:16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  <c r="O938" t="str">
        <f t="shared" si="14"/>
        <v>SAVE10</v>
      </c>
      <c r="P938" t="str">
        <f>IF(OR(N938&lt;EDA!$H$1,N938&gt;EDA!$H$2),"Outlier","Normal")</f>
        <v>Normal</v>
      </c>
    </row>
    <row r="939" spans="1:16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  <c r="O939" t="str">
        <f t="shared" si="14"/>
        <v>WINTER15</v>
      </c>
      <c r="P939" t="str">
        <f>IF(OR(N939&lt;EDA!$H$1,N939&gt;EDA!$H$2),"Outlier","Normal")</f>
        <v>Normal</v>
      </c>
    </row>
    <row r="940" spans="1:16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  <c r="O940" t="str">
        <f t="shared" si="14"/>
        <v>WINTER15</v>
      </c>
      <c r="P940" t="str">
        <f>IF(OR(N940&lt;EDA!$H$1,N940&gt;EDA!$H$2),"Outlier","Normal")</f>
        <v>Normal</v>
      </c>
    </row>
    <row r="941" spans="1:16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  <c r="O941" t="str">
        <f t="shared" si="14"/>
        <v>SAVE10</v>
      </c>
      <c r="P941" t="str">
        <f>IF(OR(N941&lt;EDA!$H$1,N941&gt;EDA!$H$2),"Outlier","Normal")</f>
        <v>Normal</v>
      </c>
    </row>
    <row r="942" spans="1:16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  <c r="O942" t="str">
        <f t="shared" si="14"/>
        <v>SAVE10</v>
      </c>
      <c r="P942" t="str">
        <f>IF(OR(N942&lt;EDA!$H$1,N942&gt;EDA!$H$2),"Outlier","Normal")</f>
        <v>Normal</v>
      </c>
    </row>
    <row r="943" spans="1:16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  <c r="O943" t="str">
        <f t="shared" si="14"/>
        <v>FREESHIP</v>
      </c>
      <c r="P943" t="str">
        <f>IF(OR(N943&lt;EDA!$H$1,N943&gt;EDA!$H$2),"Outlier","Normal")</f>
        <v>Normal</v>
      </c>
    </row>
    <row r="944" spans="1:16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5">
        <v>479.76</v>
      </c>
      <c r="O944" t="str">
        <f t="shared" si="14"/>
        <v>No Coupon</v>
      </c>
      <c r="P944" t="str">
        <f>IF(OR(N944&lt;EDA!$H$1,N944&gt;EDA!$H$2),"Outlier","Normal")</f>
        <v>Normal</v>
      </c>
    </row>
    <row r="945" spans="1:16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  <c r="O945" t="str">
        <f t="shared" si="14"/>
        <v>FREESHIP</v>
      </c>
      <c r="P945" t="str">
        <f>IF(OR(N945&lt;EDA!$H$1,N945&gt;EDA!$H$2),"Outlier","Normal")</f>
        <v>Normal</v>
      </c>
    </row>
    <row r="946" spans="1:16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  <c r="O946" t="str">
        <f t="shared" si="14"/>
        <v>WINTER15</v>
      </c>
      <c r="P946" t="str">
        <f>IF(OR(N946&lt;EDA!$H$1,N946&gt;EDA!$H$2),"Outlier","Normal")</f>
        <v>Normal</v>
      </c>
    </row>
    <row r="947" spans="1:16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  <c r="O947" t="str">
        <f t="shared" si="14"/>
        <v>FREESHIP</v>
      </c>
      <c r="P947" t="str">
        <f>IF(OR(N947&lt;EDA!$H$1,N947&gt;EDA!$H$2),"Outlier","Normal")</f>
        <v>Normal</v>
      </c>
    </row>
    <row r="948" spans="1:16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  <c r="O948" t="str">
        <f t="shared" si="14"/>
        <v>SAVE10</v>
      </c>
      <c r="P948" t="str">
        <f>IF(OR(N948&lt;EDA!$H$1,N948&gt;EDA!$H$2),"Outlier","Normal")</f>
        <v>Normal</v>
      </c>
    </row>
    <row r="949" spans="1:16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  <c r="O949" t="str">
        <f t="shared" si="14"/>
        <v>FREESHIP</v>
      </c>
      <c r="P949" t="str">
        <f>IF(OR(N949&lt;EDA!$H$1,N949&gt;EDA!$H$2),"Outlier","Normal")</f>
        <v>Normal</v>
      </c>
    </row>
    <row r="950" spans="1:16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5">
        <v>1188.1400000000001</v>
      </c>
      <c r="O950" t="str">
        <f t="shared" si="14"/>
        <v>No Coupon</v>
      </c>
      <c r="P950" t="str">
        <f>IF(OR(N950&lt;EDA!$H$1,N950&gt;EDA!$H$2),"Outlier","Normal")</f>
        <v>Normal</v>
      </c>
    </row>
    <row r="951" spans="1:16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5">
        <v>551.9</v>
      </c>
      <c r="O951" t="str">
        <f t="shared" si="14"/>
        <v>No Coupon</v>
      </c>
      <c r="P951" t="str">
        <f>IF(OR(N951&lt;EDA!$H$1,N951&gt;EDA!$H$2),"Outlier","Normal")</f>
        <v>Normal</v>
      </c>
    </row>
    <row r="952" spans="1:16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  <c r="O952" t="str">
        <f t="shared" si="14"/>
        <v>FREESHIP</v>
      </c>
      <c r="P952" t="str">
        <f>IF(OR(N952&lt;EDA!$H$1,N952&gt;EDA!$H$2),"Outlier","Normal")</f>
        <v>Normal</v>
      </c>
    </row>
    <row r="953" spans="1:16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  <c r="O953" t="str">
        <f t="shared" si="14"/>
        <v>FREESHIP</v>
      </c>
      <c r="P953" t="str">
        <f>IF(OR(N953&lt;EDA!$H$1,N953&gt;EDA!$H$2),"Outlier","Normal")</f>
        <v>Normal</v>
      </c>
    </row>
    <row r="954" spans="1:16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5">
        <v>1510.17</v>
      </c>
      <c r="O954" t="str">
        <f t="shared" si="14"/>
        <v>No Coupon</v>
      </c>
      <c r="P954" t="str">
        <f>IF(OR(N954&lt;EDA!$H$1,N954&gt;EDA!$H$2),"Outlier","Normal")</f>
        <v>Normal</v>
      </c>
    </row>
    <row r="955" spans="1:16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  <c r="O955" t="str">
        <f t="shared" si="14"/>
        <v>FREESHIP</v>
      </c>
      <c r="P955" t="str">
        <f>IF(OR(N955&lt;EDA!$H$1,N955&gt;EDA!$H$2),"Outlier","Normal")</f>
        <v>Normal</v>
      </c>
    </row>
    <row r="956" spans="1:16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  <c r="O956" t="str">
        <f t="shared" si="14"/>
        <v>FREESHIP</v>
      </c>
      <c r="P956" t="str">
        <f>IF(OR(N956&lt;EDA!$H$1,N956&gt;EDA!$H$2),"Outlier","Normal")</f>
        <v>Normal</v>
      </c>
    </row>
    <row r="957" spans="1:16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  <c r="O957" t="str">
        <f t="shared" si="14"/>
        <v>WINTER15</v>
      </c>
      <c r="P957" t="str">
        <f>IF(OR(N957&lt;EDA!$H$1,N957&gt;EDA!$H$2),"Outlier","Normal")</f>
        <v>Normal</v>
      </c>
    </row>
    <row r="958" spans="1:16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  <c r="O958" t="str">
        <f t="shared" si="14"/>
        <v>SAVE10</v>
      </c>
      <c r="P958" t="str">
        <f>IF(OR(N958&lt;EDA!$H$1,N958&gt;EDA!$H$2),"Outlier","Normal")</f>
        <v>Normal</v>
      </c>
    </row>
    <row r="959" spans="1:16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  <c r="O959" t="str">
        <f t="shared" si="14"/>
        <v>WINTER15</v>
      </c>
      <c r="P959" t="str">
        <f>IF(OR(N959&lt;EDA!$H$1,N959&gt;EDA!$H$2),"Outlier","Normal")</f>
        <v>Normal</v>
      </c>
    </row>
    <row r="960" spans="1:16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  <c r="O960" t="str">
        <f t="shared" si="14"/>
        <v>WINTER15</v>
      </c>
      <c r="P960" t="str">
        <f>IF(OR(N960&lt;EDA!$H$1,N960&gt;EDA!$H$2),"Outlier","Normal")</f>
        <v>Normal</v>
      </c>
    </row>
    <row r="961" spans="1:16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  <c r="O961" t="str">
        <f t="shared" si="14"/>
        <v>SAVE10</v>
      </c>
      <c r="P961" t="str">
        <f>IF(OR(N961&lt;EDA!$H$1,N961&gt;EDA!$H$2),"Outlier","Normal")</f>
        <v>Normal</v>
      </c>
    </row>
    <row r="962" spans="1:16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  <c r="O962" t="str">
        <f t="shared" si="14"/>
        <v>WINTER15</v>
      </c>
      <c r="P962" t="str">
        <f>IF(OR(N962&lt;EDA!$H$1,N962&gt;EDA!$H$2),"Outlier","Normal")</f>
        <v>Normal</v>
      </c>
    </row>
    <row r="963" spans="1:16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5">
        <v>601.36</v>
      </c>
      <c r="O963" t="str">
        <f t="shared" ref="O963:O1026" si="15">IF(L963="","No Coupon",L963)</f>
        <v>No Coupon</v>
      </c>
      <c r="P963" t="str">
        <f>IF(OR(N963&lt;EDA!$H$1,N963&gt;EDA!$H$2),"Outlier","Normal")</f>
        <v>Normal</v>
      </c>
    </row>
    <row r="964" spans="1:16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  <c r="O964" t="str">
        <f t="shared" si="15"/>
        <v>SAVE10</v>
      </c>
      <c r="P964" t="str">
        <f>IF(OR(N964&lt;EDA!$H$1,N964&gt;EDA!$H$2),"Outlier","Normal")</f>
        <v>Normal</v>
      </c>
    </row>
    <row r="965" spans="1:16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  <c r="O965" t="str">
        <f t="shared" si="15"/>
        <v>FREESHIP</v>
      </c>
      <c r="P965" t="str">
        <f>IF(OR(N965&lt;EDA!$H$1,N965&gt;EDA!$H$2),"Outlier","Normal")</f>
        <v>Normal</v>
      </c>
    </row>
    <row r="966" spans="1:16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  <c r="O966" t="str">
        <f t="shared" si="15"/>
        <v>SAVE10</v>
      </c>
      <c r="P966" t="str">
        <f>IF(OR(N966&lt;EDA!$H$1,N966&gt;EDA!$H$2),"Outlier","Normal")</f>
        <v>Normal</v>
      </c>
    </row>
    <row r="967" spans="1:16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  <c r="O967" t="str">
        <f t="shared" si="15"/>
        <v>FREESHIP</v>
      </c>
      <c r="P967" t="str">
        <f>IF(OR(N967&lt;EDA!$H$1,N967&gt;EDA!$H$2),"Outlier","Normal")</f>
        <v>Normal</v>
      </c>
    </row>
    <row r="968" spans="1:16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  <c r="O968" t="str">
        <f t="shared" si="15"/>
        <v>WINTER15</v>
      </c>
      <c r="P968" t="str">
        <f>IF(OR(N968&lt;EDA!$H$1,N968&gt;EDA!$H$2),"Outlier","Normal")</f>
        <v>Normal</v>
      </c>
    </row>
    <row r="969" spans="1:16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  <c r="O969" t="str">
        <f t="shared" si="15"/>
        <v>FREESHIP</v>
      </c>
      <c r="P969" t="str">
        <f>IF(OR(N969&lt;EDA!$H$1,N969&gt;EDA!$H$2),"Outlier","Normal")</f>
        <v>Normal</v>
      </c>
    </row>
    <row r="970" spans="1:16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  <c r="O970" t="str">
        <f t="shared" si="15"/>
        <v>WINTER15</v>
      </c>
      <c r="P970" t="str">
        <f>IF(OR(N970&lt;EDA!$H$1,N970&gt;EDA!$H$2),"Outlier","Normal")</f>
        <v>Normal</v>
      </c>
    </row>
    <row r="971" spans="1:16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  <c r="O971" t="str">
        <f t="shared" si="15"/>
        <v>WINTER15</v>
      </c>
      <c r="P971" t="str">
        <f>IF(OR(N971&lt;EDA!$H$1,N971&gt;EDA!$H$2),"Outlier","Normal")</f>
        <v>Normal</v>
      </c>
    </row>
    <row r="972" spans="1:16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  <c r="O972" t="str">
        <f t="shared" si="15"/>
        <v>SAVE10</v>
      </c>
      <c r="P972" t="str">
        <f>IF(OR(N972&lt;EDA!$H$1,N972&gt;EDA!$H$2),"Outlier","Normal")</f>
        <v>Normal</v>
      </c>
    </row>
    <row r="973" spans="1:16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  <c r="O973" t="str">
        <f t="shared" si="15"/>
        <v>WINTER15</v>
      </c>
      <c r="P973" t="str">
        <f>IF(OR(N973&lt;EDA!$H$1,N973&gt;EDA!$H$2),"Outlier","Normal")</f>
        <v>Normal</v>
      </c>
    </row>
    <row r="974" spans="1:16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  <c r="O974" t="str">
        <f t="shared" si="15"/>
        <v>SAVE10</v>
      </c>
      <c r="P974" t="str">
        <f>IF(OR(N974&lt;EDA!$H$1,N974&gt;EDA!$H$2),"Outlier","Normal")</f>
        <v>Normal</v>
      </c>
    </row>
    <row r="975" spans="1:16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  <c r="O975" t="str">
        <f t="shared" si="15"/>
        <v>WINTER15</v>
      </c>
      <c r="P975" t="str">
        <f>IF(OR(N975&lt;EDA!$H$1,N975&gt;EDA!$H$2),"Outlier","Normal")</f>
        <v>Normal</v>
      </c>
    </row>
    <row r="976" spans="1:16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5">
        <v>1333.9</v>
      </c>
      <c r="O976" t="str">
        <f t="shared" si="15"/>
        <v>No Coupon</v>
      </c>
      <c r="P976" t="str">
        <f>IF(OR(N976&lt;EDA!$H$1,N976&gt;EDA!$H$2),"Outlier","Normal")</f>
        <v>Normal</v>
      </c>
    </row>
    <row r="977" spans="1:16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  <c r="O977" t="str">
        <f t="shared" si="15"/>
        <v>SAVE10</v>
      </c>
      <c r="P977" t="str">
        <f>IF(OR(N977&lt;EDA!$H$1,N977&gt;EDA!$H$2),"Outlier","Normal")</f>
        <v>Normal</v>
      </c>
    </row>
    <row r="978" spans="1:16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  <c r="O978" t="str">
        <f t="shared" si="15"/>
        <v>WINTER15</v>
      </c>
      <c r="P978" t="str">
        <f>IF(OR(N978&lt;EDA!$H$1,N978&gt;EDA!$H$2),"Outlier","Normal")</f>
        <v>Normal</v>
      </c>
    </row>
    <row r="979" spans="1:16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  <c r="O979" t="str">
        <f t="shared" si="15"/>
        <v>SAVE10</v>
      </c>
      <c r="P979" t="str">
        <f>IF(OR(N979&lt;EDA!$H$1,N979&gt;EDA!$H$2),"Outlier","Normal")</f>
        <v>Normal</v>
      </c>
    </row>
    <row r="980" spans="1:16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5">
        <v>429.96</v>
      </c>
      <c r="O980" t="str">
        <f t="shared" si="15"/>
        <v>No Coupon</v>
      </c>
      <c r="P980" t="str">
        <f>IF(OR(N980&lt;EDA!$H$1,N980&gt;EDA!$H$2),"Outlier","Normal")</f>
        <v>Normal</v>
      </c>
    </row>
    <row r="981" spans="1:16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  <c r="O981" t="str">
        <f t="shared" si="15"/>
        <v>SAVE10</v>
      </c>
      <c r="P981" t="str">
        <f>IF(OR(N981&lt;EDA!$H$1,N981&gt;EDA!$H$2),"Outlier","Normal")</f>
        <v>Normal</v>
      </c>
    </row>
    <row r="982" spans="1:16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  <c r="O982" t="str">
        <f t="shared" si="15"/>
        <v>WINTER15</v>
      </c>
      <c r="P982" t="str">
        <f>IF(OR(N982&lt;EDA!$H$1,N982&gt;EDA!$H$2),"Outlier","Normal")</f>
        <v>Normal</v>
      </c>
    </row>
    <row r="983" spans="1:16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  <c r="O983" t="str">
        <f t="shared" si="15"/>
        <v>SAVE10</v>
      </c>
      <c r="P983" t="str">
        <f>IF(OR(N983&lt;EDA!$H$1,N983&gt;EDA!$H$2),"Outlier","Normal")</f>
        <v>Normal</v>
      </c>
    </row>
    <row r="984" spans="1:16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  <c r="O984" t="str">
        <f t="shared" si="15"/>
        <v>SAVE10</v>
      </c>
      <c r="P984" t="str">
        <f>IF(OR(N984&lt;EDA!$H$1,N984&gt;EDA!$H$2),"Outlier","Normal")</f>
        <v>Normal</v>
      </c>
    </row>
    <row r="985" spans="1:16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  <c r="O985" t="str">
        <f t="shared" si="15"/>
        <v>SAVE10</v>
      </c>
      <c r="P985" t="str">
        <f>IF(OR(N985&lt;EDA!$H$1,N985&gt;EDA!$H$2),"Outlier","Normal")</f>
        <v>Normal</v>
      </c>
    </row>
    <row r="986" spans="1:16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  <c r="O986" t="str">
        <f t="shared" si="15"/>
        <v>FREESHIP</v>
      </c>
      <c r="P986" t="str">
        <f>IF(OR(N986&lt;EDA!$H$1,N986&gt;EDA!$H$2),"Outlier","Normal")</f>
        <v>Normal</v>
      </c>
    </row>
    <row r="987" spans="1:16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  <c r="O987" t="str">
        <f t="shared" si="15"/>
        <v>SAVE10</v>
      </c>
      <c r="P987" t="str">
        <f>IF(OR(N987&lt;EDA!$H$1,N987&gt;EDA!$H$2),"Outlier","Normal")</f>
        <v>Normal</v>
      </c>
    </row>
    <row r="988" spans="1:16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  <c r="O988" t="str">
        <f t="shared" si="15"/>
        <v>FREESHIP</v>
      </c>
      <c r="P988" t="str">
        <f>IF(OR(N988&lt;EDA!$H$1,N988&gt;EDA!$H$2),"Outlier","Normal")</f>
        <v>Normal</v>
      </c>
    </row>
    <row r="989" spans="1:16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  <c r="O989" t="str">
        <f t="shared" si="15"/>
        <v>FREESHIP</v>
      </c>
      <c r="P989" t="str">
        <f>IF(OR(N989&lt;EDA!$H$1,N989&gt;EDA!$H$2),"Outlier","Normal")</f>
        <v>Normal</v>
      </c>
    </row>
    <row r="990" spans="1:16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  <c r="O990" t="str">
        <f t="shared" si="15"/>
        <v>WINTER15</v>
      </c>
      <c r="P990" t="str">
        <f>IF(OR(N990&lt;EDA!$H$1,N990&gt;EDA!$H$2),"Outlier","Normal")</f>
        <v>Normal</v>
      </c>
    </row>
    <row r="991" spans="1:16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  <c r="O991" t="str">
        <f t="shared" si="15"/>
        <v>SAVE10</v>
      </c>
      <c r="P991" t="str">
        <f>IF(OR(N991&lt;EDA!$H$1,N991&gt;EDA!$H$2),"Outlier","Normal")</f>
        <v>Normal</v>
      </c>
    </row>
    <row r="992" spans="1:16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  <c r="O992" t="str">
        <f t="shared" si="15"/>
        <v>SAVE10</v>
      </c>
      <c r="P992" t="str">
        <f>IF(OR(N992&lt;EDA!$H$1,N992&gt;EDA!$H$2),"Outlier","Normal")</f>
        <v>Normal</v>
      </c>
    </row>
    <row r="993" spans="1:16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  <c r="O993" t="str">
        <f t="shared" si="15"/>
        <v>FREESHIP</v>
      </c>
      <c r="P993" t="str">
        <f>IF(OR(N993&lt;EDA!$H$1,N993&gt;EDA!$H$2),"Outlier","Normal")</f>
        <v>Normal</v>
      </c>
    </row>
    <row r="994" spans="1:16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  <c r="O994" t="str">
        <f t="shared" si="15"/>
        <v>WINTER15</v>
      </c>
      <c r="P994" t="str">
        <f>IF(OR(N994&lt;EDA!$H$1,N994&gt;EDA!$H$2),"Outlier","Normal")</f>
        <v>Normal</v>
      </c>
    </row>
    <row r="995" spans="1:16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  <c r="O995" t="str">
        <f t="shared" si="15"/>
        <v>WINTER15</v>
      </c>
      <c r="P995" t="str">
        <f>IF(OR(N995&lt;EDA!$H$1,N995&gt;EDA!$H$2),"Outlier","Normal")</f>
        <v>Normal</v>
      </c>
    </row>
    <row r="996" spans="1:16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  <c r="O996" t="str">
        <f t="shared" si="15"/>
        <v>WINTER15</v>
      </c>
      <c r="P996" t="str">
        <f>IF(OR(N996&lt;EDA!$H$1,N996&gt;EDA!$H$2),"Outlier","Normal")</f>
        <v>Normal</v>
      </c>
    </row>
    <row r="997" spans="1:16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  <c r="O997" t="str">
        <f t="shared" si="15"/>
        <v>SAVE10</v>
      </c>
      <c r="P997" t="str">
        <f>IF(OR(N997&lt;EDA!$H$1,N997&gt;EDA!$H$2),"Outlier","Normal")</f>
        <v>Normal</v>
      </c>
    </row>
    <row r="998" spans="1:16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  <c r="O998" t="str">
        <f t="shared" si="15"/>
        <v>SAVE10</v>
      </c>
      <c r="P998" t="str">
        <f>IF(OR(N998&lt;EDA!$H$1,N998&gt;EDA!$H$2),"Outlier","Normal")</f>
        <v>Normal</v>
      </c>
    </row>
    <row r="999" spans="1:16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  <c r="O999" t="str">
        <f t="shared" si="15"/>
        <v>SAVE10</v>
      </c>
      <c r="P999" t="str">
        <f>IF(OR(N999&lt;EDA!$H$1,N999&gt;EDA!$H$2),"Outlier","Normal")</f>
        <v>Normal</v>
      </c>
    </row>
    <row r="1000" spans="1:16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  <c r="O1000" t="str">
        <f t="shared" si="15"/>
        <v>SAVE10</v>
      </c>
      <c r="P1000" t="str">
        <f>IF(OR(N1000&lt;EDA!$H$1,N1000&gt;EDA!$H$2),"Outlier","Normal")</f>
        <v>Normal</v>
      </c>
    </row>
    <row r="1001" spans="1:16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  <c r="O1001" t="str">
        <f t="shared" si="15"/>
        <v>FREESHIP</v>
      </c>
      <c r="P1001" t="str">
        <f>IF(OR(N1001&lt;EDA!$H$1,N1001&gt;EDA!$H$2),"Outlier","Normal")</f>
        <v>Normal</v>
      </c>
    </row>
    <row r="1002" spans="1:16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  <c r="O1002" t="str">
        <f t="shared" si="15"/>
        <v>SAVE10</v>
      </c>
      <c r="P1002" t="str">
        <f>IF(OR(N1002&lt;EDA!$H$1,N1002&gt;EDA!$H$2),"Outlier","Normal")</f>
        <v>Normal</v>
      </c>
    </row>
    <row r="1003" spans="1:16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5">
        <v>507.36</v>
      </c>
      <c r="O1003" t="str">
        <f t="shared" si="15"/>
        <v>No Coupon</v>
      </c>
      <c r="P1003" t="str">
        <f>IF(OR(N1003&lt;EDA!$H$1,N1003&gt;EDA!$H$2),"Outlier","Normal")</f>
        <v>Normal</v>
      </c>
    </row>
    <row r="1004" spans="1:16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  <c r="O1004" t="str">
        <f t="shared" si="15"/>
        <v>WINTER15</v>
      </c>
      <c r="P1004" t="str">
        <f>IF(OR(N1004&lt;EDA!$H$1,N1004&gt;EDA!$H$2),"Outlier","Normal")</f>
        <v>Normal</v>
      </c>
    </row>
    <row r="1005" spans="1:16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  <c r="O1005" t="str">
        <f t="shared" si="15"/>
        <v>SAVE10</v>
      </c>
      <c r="P1005" t="str">
        <f>IF(OR(N1005&lt;EDA!$H$1,N1005&gt;EDA!$H$2),"Outlier","Normal")</f>
        <v>Normal</v>
      </c>
    </row>
    <row r="1006" spans="1:16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  <c r="O1006" t="str">
        <f t="shared" si="15"/>
        <v>SAVE10</v>
      </c>
      <c r="P1006" t="str">
        <f>IF(OR(N1006&lt;EDA!$H$1,N1006&gt;EDA!$H$2),"Outlier","Normal")</f>
        <v>Normal</v>
      </c>
    </row>
    <row r="1007" spans="1:16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5">
        <v>1178.55</v>
      </c>
      <c r="O1007" t="str">
        <f t="shared" si="15"/>
        <v>No Coupon</v>
      </c>
      <c r="P1007" t="str">
        <f>IF(OR(N1007&lt;EDA!$H$1,N1007&gt;EDA!$H$2),"Outlier","Normal")</f>
        <v>Normal</v>
      </c>
    </row>
    <row r="1008" spans="1:16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  <c r="O1008" t="str">
        <f t="shared" si="15"/>
        <v>SAVE10</v>
      </c>
      <c r="P1008" t="str">
        <f>IF(OR(N1008&lt;EDA!$H$1,N1008&gt;EDA!$H$2),"Outlier","Normal")</f>
        <v>Normal</v>
      </c>
    </row>
    <row r="1009" spans="1:16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  <c r="O1009" t="str">
        <f t="shared" si="15"/>
        <v>WINTER15</v>
      </c>
      <c r="P1009" t="str">
        <f>IF(OR(N1009&lt;EDA!$H$1,N1009&gt;EDA!$H$2),"Outlier","Normal")</f>
        <v>Normal</v>
      </c>
    </row>
    <row r="1010" spans="1:16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  <c r="O1010" t="str">
        <f t="shared" si="15"/>
        <v>FREESHIP</v>
      </c>
      <c r="P1010" t="str">
        <f>IF(OR(N1010&lt;EDA!$H$1,N1010&gt;EDA!$H$2),"Outlier","Normal")</f>
        <v>Normal</v>
      </c>
    </row>
    <row r="1011" spans="1:16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  <c r="O1011" t="str">
        <f t="shared" si="15"/>
        <v>FREESHIP</v>
      </c>
      <c r="P1011" t="str">
        <f>IF(OR(N1011&lt;EDA!$H$1,N1011&gt;EDA!$H$2),"Outlier","Normal")</f>
        <v>Normal</v>
      </c>
    </row>
    <row r="1012" spans="1:16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  <c r="O1012" t="str">
        <f t="shared" si="15"/>
        <v>SAVE10</v>
      </c>
      <c r="P1012" t="str">
        <f>IF(OR(N1012&lt;EDA!$H$1,N1012&gt;EDA!$H$2),"Outlier","Normal")</f>
        <v>Normal</v>
      </c>
    </row>
    <row r="1013" spans="1:16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5">
        <v>956.72</v>
      </c>
      <c r="O1013" t="str">
        <f t="shared" si="15"/>
        <v>No Coupon</v>
      </c>
      <c r="P1013" t="str">
        <f>IF(OR(N1013&lt;EDA!$H$1,N1013&gt;EDA!$H$2),"Outlier","Normal")</f>
        <v>Normal</v>
      </c>
    </row>
    <row r="1014" spans="1:16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5">
        <v>120.2</v>
      </c>
      <c r="O1014" t="str">
        <f t="shared" si="15"/>
        <v>No Coupon</v>
      </c>
      <c r="P1014" t="str">
        <f>IF(OR(N1014&lt;EDA!$H$1,N1014&gt;EDA!$H$2),"Outlier","Normal")</f>
        <v>Normal</v>
      </c>
    </row>
    <row r="1015" spans="1:16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  <c r="O1015" t="str">
        <f t="shared" si="15"/>
        <v>FREESHIP</v>
      </c>
      <c r="P1015" t="str">
        <f>IF(OR(N1015&lt;EDA!$H$1,N1015&gt;EDA!$H$2),"Outlier","Normal")</f>
        <v>Normal</v>
      </c>
    </row>
    <row r="1016" spans="1:16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  <c r="O1016" t="str">
        <f t="shared" si="15"/>
        <v>FREESHIP</v>
      </c>
      <c r="P1016" t="str">
        <f>IF(OR(N1016&lt;EDA!$H$1,N1016&gt;EDA!$H$2),"Outlier","Normal")</f>
        <v>Normal</v>
      </c>
    </row>
    <row r="1017" spans="1:16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  <c r="O1017" t="str">
        <f t="shared" si="15"/>
        <v>SAVE10</v>
      </c>
      <c r="P1017" t="str">
        <f>IF(OR(N1017&lt;EDA!$H$1,N1017&gt;EDA!$H$2),"Outlier","Normal")</f>
        <v>Normal</v>
      </c>
    </row>
    <row r="1018" spans="1:16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  <c r="O1018" t="str">
        <f t="shared" si="15"/>
        <v>WINTER15</v>
      </c>
      <c r="P1018" t="str">
        <f>IF(OR(N1018&lt;EDA!$H$1,N1018&gt;EDA!$H$2),"Outlier","Normal")</f>
        <v>Normal</v>
      </c>
    </row>
    <row r="1019" spans="1:16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  <c r="O1019" t="str">
        <f t="shared" si="15"/>
        <v>FREESHIP</v>
      </c>
      <c r="P1019" t="str">
        <f>IF(OR(N1019&lt;EDA!$H$1,N1019&gt;EDA!$H$2),"Outlier","Normal")</f>
        <v>Normal</v>
      </c>
    </row>
    <row r="1020" spans="1:16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5">
        <v>547.43999999999994</v>
      </c>
      <c r="O1020" t="str">
        <f t="shared" si="15"/>
        <v>No Coupon</v>
      </c>
      <c r="P1020" t="str">
        <f>IF(OR(N1020&lt;EDA!$H$1,N1020&gt;EDA!$H$2),"Outlier","Normal")</f>
        <v>Normal</v>
      </c>
    </row>
    <row r="1021" spans="1:16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  <c r="O1021" t="str">
        <f t="shared" si="15"/>
        <v>SAVE10</v>
      </c>
      <c r="P1021" t="str">
        <f>IF(OR(N1021&lt;EDA!$H$1,N1021&gt;EDA!$H$2),"Outlier","Normal")</f>
        <v>Normal</v>
      </c>
    </row>
    <row r="1022" spans="1:16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  <c r="O1022" t="str">
        <f t="shared" si="15"/>
        <v>SAVE10</v>
      </c>
      <c r="P1022" t="str">
        <f>IF(OR(N1022&lt;EDA!$H$1,N1022&gt;EDA!$H$2),"Outlier","Normal")</f>
        <v>Normal</v>
      </c>
    </row>
    <row r="1023" spans="1:16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  <c r="O1023" t="str">
        <f t="shared" si="15"/>
        <v>SAVE10</v>
      </c>
      <c r="P1023" t="str">
        <f>IF(OR(N1023&lt;EDA!$H$1,N1023&gt;EDA!$H$2),"Outlier","Normal")</f>
        <v>Normal</v>
      </c>
    </row>
    <row r="1024" spans="1:16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  <c r="O1024" t="str">
        <f t="shared" si="15"/>
        <v>SAVE10</v>
      </c>
      <c r="P1024" t="str">
        <f>IF(OR(N1024&lt;EDA!$H$1,N1024&gt;EDA!$H$2),"Outlier","Normal")</f>
        <v>Normal</v>
      </c>
    </row>
    <row r="1025" spans="1:16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5">
        <v>1168.3499999999999</v>
      </c>
      <c r="O1025" t="str">
        <f t="shared" si="15"/>
        <v>No Coupon</v>
      </c>
      <c r="P1025" t="str">
        <f>IF(OR(N1025&lt;EDA!$H$1,N1025&gt;EDA!$H$2),"Outlier","Normal")</f>
        <v>Normal</v>
      </c>
    </row>
    <row r="1026" spans="1:16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  <c r="O1026" t="str">
        <f t="shared" si="15"/>
        <v>FREESHIP</v>
      </c>
      <c r="P1026" t="str">
        <f>IF(OR(N1026&lt;EDA!$H$1,N1026&gt;EDA!$H$2),"Outlier","Normal")</f>
        <v>Normal</v>
      </c>
    </row>
    <row r="1027" spans="1:16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  <c r="O1027" t="str">
        <f t="shared" ref="O1027:O1090" si="16">IF(L1027="","No Coupon",L1027)</f>
        <v>FREESHIP</v>
      </c>
      <c r="P1027" t="str">
        <f>IF(OR(N1027&lt;EDA!$H$1,N1027&gt;EDA!$H$2),"Outlier","Normal")</f>
        <v>Normal</v>
      </c>
    </row>
    <row r="1028" spans="1:16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  <c r="O1028" t="str">
        <f t="shared" si="16"/>
        <v>WINTER15</v>
      </c>
      <c r="P1028" t="str">
        <f>IF(OR(N1028&lt;EDA!$H$1,N1028&gt;EDA!$H$2),"Outlier","Normal")</f>
        <v>Normal</v>
      </c>
    </row>
    <row r="1029" spans="1:16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5">
        <v>2219.3200000000002</v>
      </c>
      <c r="O1029" t="str">
        <f t="shared" si="16"/>
        <v>No Coupon</v>
      </c>
      <c r="P1029" t="str">
        <f>IF(OR(N1029&lt;EDA!$H$1,N1029&gt;EDA!$H$2),"Outlier","Normal")</f>
        <v>Normal</v>
      </c>
    </row>
    <row r="1030" spans="1:16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5">
        <v>1761.24</v>
      </c>
      <c r="O1030" t="str">
        <f t="shared" si="16"/>
        <v>No Coupon</v>
      </c>
      <c r="P1030" t="str">
        <f>IF(OR(N1030&lt;EDA!$H$1,N1030&gt;EDA!$H$2),"Outlier","Normal")</f>
        <v>Normal</v>
      </c>
    </row>
    <row r="1031" spans="1:16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  <c r="O1031" t="str">
        <f t="shared" si="16"/>
        <v>FREESHIP</v>
      </c>
      <c r="P1031" t="str">
        <f>IF(OR(N1031&lt;EDA!$H$1,N1031&gt;EDA!$H$2),"Outlier","Normal")</f>
        <v>Normal</v>
      </c>
    </row>
    <row r="1032" spans="1:16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  <c r="O1032" t="str">
        <f t="shared" si="16"/>
        <v>WINTER15</v>
      </c>
      <c r="P1032" t="str">
        <f>IF(OR(N1032&lt;EDA!$H$1,N1032&gt;EDA!$H$2),"Outlier","Normal")</f>
        <v>Normal</v>
      </c>
    </row>
    <row r="1033" spans="1:16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  <c r="O1033" t="str">
        <f t="shared" si="16"/>
        <v>SAVE10</v>
      </c>
      <c r="P1033" t="str">
        <f>IF(OR(N1033&lt;EDA!$H$1,N1033&gt;EDA!$H$2),"Outlier","Normal")</f>
        <v>Normal</v>
      </c>
    </row>
    <row r="1034" spans="1:16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  <c r="O1034" t="str">
        <f t="shared" si="16"/>
        <v>WINTER15</v>
      </c>
      <c r="P1034" t="str">
        <f>IF(OR(N1034&lt;EDA!$H$1,N1034&gt;EDA!$H$2),"Outlier","Normal")</f>
        <v>Normal</v>
      </c>
    </row>
    <row r="1035" spans="1:16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  <c r="O1035" t="str">
        <f t="shared" si="16"/>
        <v>FREESHIP</v>
      </c>
      <c r="P1035" t="str">
        <f>IF(OR(N1035&lt;EDA!$H$1,N1035&gt;EDA!$H$2),"Outlier","Normal")</f>
        <v>Normal</v>
      </c>
    </row>
    <row r="1036" spans="1:16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  <c r="O1036" t="str">
        <f t="shared" si="16"/>
        <v>FREESHIP</v>
      </c>
      <c r="P1036" t="str">
        <f>IF(OR(N1036&lt;EDA!$H$1,N1036&gt;EDA!$H$2),"Outlier","Normal")</f>
        <v>Normal</v>
      </c>
    </row>
    <row r="1037" spans="1:16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5">
        <v>2024.44</v>
      </c>
      <c r="O1037" t="str">
        <f t="shared" si="16"/>
        <v>No Coupon</v>
      </c>
      <c r="P1037" t="str">
        <f>IF(OR(N1037&lt;EDA!$H$1,N1037&gt;EDA!$H$2),"Outlier","Normal")</f>
        <v>Normal</v>
      </c>
    </row>
    <row r="1038" spans="1:16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  <c r="O1038" t="str">
        <f t="shared" si="16"/>
        <v>SAVE10</v>
      </c>
      <c r="P1038" t="str">
        <f>IF(OR(N1038&lt;EDA!$H$1,N1038&gt;EDA!$H$2),"Outlier","Normal")</f>
        <v>Normal</v>
      </c>
    </row>
    <row r="1039" spans="1:16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  <c r="O1039" t="str">
        <f t="shared" si="16"/>
        <v>SAVE10</v>
      </c>
      <c r="P1039" t="str">
        <f>IF(OR(N1039&lt;EDA!$H$1,N1039&gt;EDA!$H$2),"Outlier","Normal")</f>
        <v>Normal</v>
      </c>
    </row>
    <row r="1040" spans="1:16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5">
        <v>1087.5899999999999</v>
      </c>
      <c r="O1040" t="str">
        <f t="shared" si="16"/>
        <v>No Coupon</v>
      </c>
      <c r="P1040" t="str">
        <f>IF(OR(N1040&lt;EDA!$H$1,N1040&gt;EDA!$H$2),"Outlier","Normal")</f>
        <v>Normal</v>
      </c>
    </row>
    <row r="1041" spans="1:16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  <c r="O1041" t="str">
        <f t="shared" si="16"/>
        <v>WINTER15</v>
      </c>
      <c r="P1041" t="str">
        <f>IF(OR(N1041&lt;EDA!$H$1,N1041&gt;EDA!$H$2),"Outlier","Normal")</f>
        <v>Normal</v>
      </c>
    </row>
    <row r="1042" spans="1:16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  <c r="O1042" t="str">
        <f t="shared" si="16"/>
        <v>FREESHIP</v>
      </c>
      <c r="P1042" t="str">
        <f>IF(OR(N1042&lt;EDA!$H$1,N1042&gt;EDA!$H$2),"Outlier","Normal")</f>
        <v>Normal</v>
      </c>
    </row>
    <row r="1043" spans="1:16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  <c r="O1043" t="str">
        <f t="shared" si="16"/>
        <v>WINTER15</v>
      </c>
      <c r="P1043" t="str">
        <f>IF(OR(N1043&lt;EDA!$H$1,N1043&gt;EDA!$H$2),"Outlier","Normal")</f>
        <v>Normal</v>
      </c>
    </row>
    <row r="1044" spans="1:16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  <c r="O1044" t="str">
        <f t="shared" si="16"/>
        <v>WINTER15</v>
      </c>
      <c r="P1044" t="str">
        <f>IF(OR(N1044&lt;EDA!$H$1,N1044&gt;EDA!$H$2),"Outlier","Normal")</f>
        <v>Normal</v>
      </c>
    </row>
    <row r="1045" spans="1:16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5">
        <v>359.92</v>
      </c>
      <c r="O1045" t="str">
        <f t="shared" si="16"/>
        <v>No Coupon</v>
      </c>
      <c r="P1045" t="str">
        <f>IF(OR(N1045&lt;EDA!$H$1,N1045&gt;EDA!$H$2),"Outlier","Normal")</f>
        <v>Normal</v>
      </c>
    </row>
    <row r="1046" spans="1:16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  <c r="O1046" t="str">
        <f t="shared" si="16"/>
        <v>FREESHIP</v>
      </c>
      <c r="P1046" t="str">
        <f>IF(OR(N1046&lt;EDA!$H$1,N1046&gt;EDA!$H$2),"Outlier","Normal")</f>
        <v>Normal</v>
      </c>
    </row>
    <row r="1047" spans="1:16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5">
        <v>1582</v>
      </c>
      <c r="O1047" t="str">
        <f t="shared" si="16"/>
        <v>No Coupon</v>
      </c>
      <c r="P1047" t="str">
        <f>IF(OR(N1047&lt;EDA!$H$1,N1047&gt;EDA!$H$2),"Outlier","Normal")</f>
        <v>Normal</v>
      </c>
    </row>
    <row r="1048" spans="1:16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  <c r="O1048" t="str">
        <f t="shared" si="16"/>
        <v>WINTER15</v>
      </c>
      <c r="P1048" t="str">
        <f>IF(OR(N1048&lt;EDA!$H$1,N1048&gt;EDA!$H$2),"Outlier","Normal")</f>
        <v>Normal</v>
      </c>
    </row>
    <row r="1049" spans="1:16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  <c r="O1049" t="str">
        <f t="shared" si="16"/>
        <v>WINTER15</v>
      </c>
      <c r="P1049" t="str">
        <f>IF(OR(N1049&lt;EDA!$H$1,N1049&gt;EDA!$H$2),"Outlier","Normal")</f>
        <v>Normal</v>
      </c>
    </row>
    <row r="1050" spans="1:16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5">
        <v>294.60000000000002</v>
      </c>
      <c r="O1050" t="str">
        <f t="shared" si="16"/>
        <v>No Coupon</v>
      </c>
      <c r="P1050" t="str">
        <f>IF(OR(N1050&lt;EDA!$H$1,N1050&gt;EDA!$H$2),"Outlier","Normal")</f>
        <v>Normal</v>
      </c>
    </row>
    <row r="1051" spans="1:16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5">
        <v>1959.3</v>
      </c>
      <c r="O1051" t="str">
        <f t="shared" si="16"/>
        <v>No Coupon</v>
      </c>
      <c r="P1051" t="str">
        <f>IF(OR(N1051&lt;EDA!$H$1,N1051&gt;EDA!$H$2),"Outlier","Normal")</f>
        <v>Normal</v>
      </c>
    </row>
    <row r="1052" spans="1:16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5">
        <v>348.5</v>
      </c>
      <c r="O1052" t="str">
        <f t="shared" si="16"/>
        <v>No Coupon</v>
      </c>
      <c r="P1052" t="str">
        <f>IF(OR(N1052&lt;EDA!$H$1,N1052&gt;EDA!$H$2),"Outlier","Normal")</f>
        <v>Normal</v>
      </c>
    </row>
    <row r="1053" spans="1:16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  <c r="O1053" t="str">
        <f t="shared" si="16"/>
        <v>FREESHIP</v>
      </c>
      <c r="P1053" t="str">
        <f>IF(OR(N1053&lt;EDA!$H$1,N1053&gt;EDA!$H$2),"Outlier","Normal")</f>
        <v>Normal</v>
      </c>
    </row>
    <row r="1054" spans="1:16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  <c r="O1054" t="str">
        <f t="shared" si="16"/>
        <v>WINTER15</v>
      </c>
      <c r="P1054" t="str">
        <f>IF(OR(N1054&lt;EDA!$H$1,N1054&gt;EDA!$H$2),"Outlier","Normal")</f>
        <v>Normal</v>
      </c>
    </row>
    <row r="1055" spans="1:16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  <c r="O1055" t="str">
        <f t="shared" si="16"/>
        <v>SAVE10</v>
      </c>
      <c r="P1055" t="str">
        <f>IF(OR(N1055&lt;EDA!$H$1,N1055&gt;EDA!$H$2),"Outlier","Normal")</f>
        <v>Normal</v>
      </c>
    </row>
    <row r="1056" spans="1:16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  <c r="O1056" t="str">
        <f t="shared" si="16"/>
        <v>WINTER15</v>
      </c>
      <c r="P1056" t="str">
        <f>IF(OR(N1056&lt;EDA!$H$1,N1056&gt;EDA!$H$2),"Outlier","Normal")</f>
        <v>Normal</v>
      </c>
    </row>
    <row r="1057" spans="1:16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  <c r="O1057" t="str">
        <f t="shared" si="16"/>
        <v>WINTER15</v>
      </c>
      <c r="P1057" t="str">
        <f>IF(OR(N1057&lt;EDA!$H$1,N1057&gt;EDA!$H$2),"Outlier","Normal")</f>
        <v>Normal</v>
      </c>
    </row>
    <row r="1058" spans="1:16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  <c r="O1058" t="str">
        <f t="shared" si="16"/>
        <v>SAVE10</v>
      </c>
      <c r="P1058" t="str">
        <f>IF(OR(N1058&lt;EDA!$H$1,N1058&gt;EDA!$H$2),"Outlier","Normal")</f>
        <v>Normal</v>
      </c>
    </row>
    <row r="1059" spans="1:16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  <c r="O1059" t="str">
        <f t="shared" si="16"/>
        <v>WINTER15</v>
      </c>
      <c r="P1059" t="str">
        <f>IF(OR(N1059&lt;EDA!$H$1,N1059&gt;EDA!$H$2),"Outlier","Normal")</f>
        <v>Normal</v>
      </c>
    </row>
    <row r="1060" spans="1:16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  <c r="O1060" t="str">
        <f t="shared" si="16"/>
        <v>FREESHIP</v>
      </c>
      <c r="P1060" t="str">
        <f>IF(OR(N1060&lt;EDA!$H$1,N1060&gt;EDA!$H$2),"Outlier","Normal")</f>
        <v>Normal</v>
      </c>
    </row>
    <row r="1061" spans="1:16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  <c r="O1061" t="str">
        <f t="shared" si="16"/>
        <v>WINTER15</v>
      </c>
      <c r="P1061" t="str">
        <f>IF(OR(N1061&lt;EDA!$H$1,N1061&gt;EDA!$H$2),"Outlier","Normal")</f>
        <v>Normal</v>
      </c>
    </row>
    <row r="1062" spans="1:16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  <c r="O1062" t="str">
        <f t="shared" si="16"/>
        <v>WINTER15</v>
      </c>
      <c r="P1062" t="str">
        <f>IF(OR(N1062&lt;EDA!$H$1,N1062&gt;EDA!$H$2),"Outlier","Normal")</f>
        <v>Normal</v>
      </c>
    </row>
    <row r="1063" spans="1:16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  <c r="O1063" t="str">
        <f t="shared" si="16"/>
        <v>FREESHIP</v>
      </c>
      <c r="P1063" t="str">
        <f>IF(OR(N1063&lt;EDA!$H$1,N1063&gt;EDA!$H$2),"Outlier","Normal")</f>
        <v>Normal</v>
      </c>
    </row>
    <row r="1064" spans="1:16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5">
        <v>427.6</v>
      </c>
      <c r="O1064" t="str">
        <f t="shared" si="16"/>
        <v>No Coupon</v>
      </c>
      <c r="P1064" t="str">
        <f>IF(OR(N1064&lt;EDA!$H$1,N1064&gt;EDA!$H$2),"Outlier","Normal")</f>
        <v>Normal</v>
      </c>
    </row>
    <row r="1065" spans="1:16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  <c r="O1065" t="str">
        <f t="shared" si="16"/>
        <v>FREESHIP</v>
      </c>
      <c r="P1065" t="str">
        <f>IF(OR(N1065&lt;EDA!$H$1,N1065&gt;EDA!$H$2),"Outlier","Normal")</f>
        <v>Normal</v>
      </c>
    </row>
    <row r="1066" spans="1:16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  <c r="O1066" t="str">
        <f t="shared" si="16"/>
        <v>FREESHIP</v>
      </c>
      <c r="P1066" t="str">
        <f>IF(OR(N1066&lt;EDA!$H$1,N1066&gt;EDA!$H$2),"Outlier","Normal")</f>
        <v>Normal</v>
      </c>
    </row>
    <row r="1067" spans="1:16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  <c r="O1067" t="str">
        <f t="shared" si="16"/>
        <v>SAVE10</v>
      </c>
      <c r="P1067" t="str">
        <f>IF(OR(N1067&lt;EDA!$H$1,N1067&gt;EDA!$H$2),"Outlier","Normal")</f>
        <v>Outlier</v>
      </c>
    </row>
    <row r="1068" spans="1:16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  <c r="O1068" t="str">
        <f t="shared" si="16"/>
        <v>SAVE10</v>
      </c>
      <c r="P1068" t="str">
        <f>IF(OR(N1068&lt;EDA!$H$1,N1068&gt;EDA!$H$2),"Outlier","Normal")</f>
        <v>Normal</v>
      </c>
    </row>
    <row r="1069" spans="1:16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5">
        <v>632.4</v>
      </c>
      <c r="O1069" t="str">
        <f t="shared" si="16"/>
        <v>No Coupon</v>
      </c>
      <c r="P1069" t="str">
        <f>IF(OR(N1069&lt;EDA!$H$1,N1069&gt;EDA!$H$2),"Outlier","Normal")</f>
        <v>Normal</v>
      </c>
    </row>
    <row r="1070" spans="1:16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  <c r="O1070" t="str">
        <f t="shared" si="16"/>
        <v>SAVE10</v>
      </c>
      <c r="P1070" t="str">
        <f>IF(OR(N1070&lt;EDA!$H$1,N1070&gt;EDA!$H$2),"Outlier","Normal")</f>
        <v>Normal</v>
      </c>
    </row>
    <row r="1071" spans="1:16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5">
        <v>454.23</v>
      </c>
      <c r="O1071" t="str">
        <f t="shared" si="16"/>
        <v>No Coupon</v>
      </c>
      <c r="P1071" t="str">
        <f>IF(OR(N1071&lt;EDA!$H$1,N1071&gt;EDA!$H$2),"Outlier","Normal")</f>
        <v>Normal</v>
      </c>
    </row>
    <row r="1072" spans="1:16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5">
        <v>1965.16</v>
      </c>
      <c r="O1072" t="str">
        <f t="shared" si="16"/>
        <v>No Coupon</v>
      </c>
      <c r="P1072" t="str">
        <f>IF(OR(N1072&lt;EDA!$H$1,N1072&gt;EDA!$H$2),"Outlier","Normal")</f>
        <v>Normal</v>
      </c>
    </row>
    <row r="1073" spans="1:16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5">
        <v>510.28</v>
      </c>
      <c r="O1073" t="str">
        <f t="shared" si="16"/>
        <v>No Coupon</v>
      </c>
      <c r="P1073" t="str">
        <f>IF(OR(N1073&lt;EDA!$H$1,N1073&gt;EDA!$H$2),"Outlier","Normal")</f>
        <v>Normal</v>
      </c>
    </row>
    <row r="1074" spans="1:16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  <c r="O1074" t="str">
        <f t="shared" si="16"/>
        <v>SAVE10</v>
      </c>
      <c r="P1074" t="str">
        <f>IF(OR(N1074&lt;EDA!$H$1,N1074&gt;EDA!$H$2),"Outlier","Normal")</f>
        <v>Normal</v>
      </c>
    </row>
    <row r="1075" spans="1:16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5">
        <v>1448.24</v>
      </c>
      <c r="O1075" t="str">
        <f t="shared" si="16"/>
        <v>No Coupon</v>
      </c>
      <c r="P1075" t="str">
        <f>IF(OR(N1075&lt;EDA!$H$1,N1075&gt;EDA!$H$2),"Outlier","Normal")</f>
        <v>Normal</v>
      </c>
    </row>
    <row r="1076" spans="1:16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5">
        <v>222.73</v>
      </c>
      <c r="O1076" t="str">
        <f t="shared" si="16"/>
        <v>No Coupon</v>
      </c>
      <c r="P1076" t="str">
        <f>IF(OR(N1076&lt;EDA!$H$1,N1076&gt;EDA!$H$2),"Outlier","Normal")</f>
        <v>Normal</v>
      </c>
    </row>
    <row r="1077" spans="1:16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  <c r="O1077" t="str">
        <f t="shared" si="16"/>
        <v>WINTER15</v>
      </c>
      <c r="P1077" t="str">
        <f>IF(OR(N1077&lt;EDA!$H$1,N1077&gt;EDA!$H$2),"Outlier","Normal")</f>
        <v>Normal</v>
      </c>
    </row>
    <row r="1078" spans="1:16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5">
        <v>2746.44</v>
      </c>
      <c r="O1078" t="str">
        <f t="shared" si="16"/>
        <v>No Coupon</v>
      </c>
      <c r="P1078" t="str">
        <f>IF(OR(N1078&lt;EDA!$H$1,N1078&gt;EDA!$H$2),"Outlier","Normal")</f>
        <v>Normal</v>
      </c>
    </row>
    <row r="1079" spans="1:16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  <c r="O1079" t="str">
        <f t="shared" si="16"/>
        <v>SAVE10</v>
      </c>
      <c r="P1079" t="str">
        <f>IF(OR(N1079&lt;EDA!$H$1,N1079&gt;EDA!$H$2),"Outlier","Normal")</f>
        <v>Normal</v>
      </c>
    </row>
    <row r="1080" spans="1:16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  <c r="O1080" t="str">
        <f t="shared" si="16"/>
        <v>WINTER15</v>
      </c>
      <c r="P1080" t="str">
        <f>IF(OR(N1080&lt;EDA!$H$1,N1080&gt;EDA!$H$2),"Outlier","Normal")</f>
        <v>Normal</v>
      </c>
    </row>
    <row r="1081" spans="1:16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5">
        <v>3170</v>
      </c>
      <c r="O1081" t="str">
        <f t="shared" si="16"/>
        <v>No Coupon</v>
      </c>
      <c r="P1081" t="str">
        <f>IF(OR(N1081&lt;EDA!$H$1,N1081&gt;EDA!$H$2),"Outlier","Normal")</f>
        <v>Normal</v>
      </c>
    </row>
    <row r="1082" spans="1:16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5">
        <v>2323.6999999999998</v>
      </c>
      <c r="O1082" t="str">
        <f t="shared" si="16"/>
        <v>No Coupon</v>
      </c>
      <c r="P1082" t="str">
        <f>IF(OR(N1082&lt;EDA!$H$1,N1082&gt;EDA!$H$2),"Outlier","Normal")</f>
        <v>Normal</v>
      </c>
    </row>
    <row r="1083" spans="1:16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  <c r="O1083" t="str">
        <f t="shared" si="16"/>
        <v>FREESHIP</v>
      </c>
      <c r="P1083" t="str">
        <f>IF(OR(N1083&lt;EDA!$H$1,N1083&gt;EDA!$H$2),"Outlier","Normal")</f>
        <v>Normal</v>
      </c>
    </row>
    <row r="1084" spans="1:16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  <c r="O1084" t="str">
        <f t="shared" si="16"/>
        <v>SAVE10</v>
      </c>
      <c r="P1084" t="str">
        <f>IF(OR(N1084&lt;EDA!$H$1,N1084&gt;EDA!$H$2),"Outlier","Normal")</f>
        <v>Normal</v>
      </c>
    </row>
    <row r="1085" spans="1:16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  <c r="O1085" t="str">
        <f t="shared" si="16"/>
        <v>SAVE10</v>
      </c>
      <c r="P1085" t="str">
        <f>IF(OR(N1085&lt;EDA!$H$1,N1085&gt;EDA!$H$2),"Outlier","Normal")</f>
        <v>Normal</v>
      </c>
    </row>
    <row r="1086" spans="1:16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  <c r="O1086" t="str">
        <f t="shared" si="16"/>
        <v>WINTER15</v>
      </c>
      <c r="P1086" t="str">
        <f>IF(OR(N1086&lt;EDA!$H$1,N1086&gt;EDA!$H$2),"Outlier","Normal")</f>
        <v>Normal</v>
      </c>
    </row>
    <row r="1087" spans="1:16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  <c r="O1087" t="str">
        <f t="shared" si="16"/>
        <v>WINTER15</v>
      </c>
      <c r="P1087" t="str">
        <f>IF(OR(N1087&lt;EDA!$H$1,N1087&gt;EDA!$H$2),"Outlier","Normal")</f>
        <v>Normal</v>
      </c>
    </row>
    <row r="1088" spans="1:16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  <c r="O1088" t="str">
        <f t="shared" si="16"/>
        <v>WINTER15</v>
      </c>
      <c r="P1088" t="str">
        <f>IF(OR(N1088&lt;EDA!$H$1,N1088&gt;EDA!$H$2),"Outlier","Normal")</f>
        <v>Normal</v>
      </c>
    </row>
    <row r="1089" spans="1:16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  <c r="O1089" t="str">
        <f t="shared" si="16"/>
        <v>SAVE10</v>
      </c>
      <c r="P1089" t="str">
        <f>IF(OR(N1089&lt;EDA!$H$1,N1089&gt;EDA!$H$2),"Outlier","Normal")</f>
        <v>Normal</v>
      </c>
    </row>
    <row r="1090" spans="1:16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  <c r="O1090" t="str">
        <f t="shared" si="16"/>
        <v>WINTER15</v>
      </c>
      <c r="P1090" t="str">
        <f>IF(OR(N1090&lt;EDA!$H$1,N1090&gt;EDA!$H$2),"Outlier","Normal")</f>
        <v>Normal</v>
      </c>
    </row>
    <row r="1091" spans="1:16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5">
        <v>1199.48</v>
      </c>
      <c r="O1091" t="str">
        <f t="shared" ref="O1091:O1154" si="17">IF(L1091="","No Coupon",L1091)</f>
        <v>No Coupon</v>
      </c>
      <c r="P1091" t="str">
        <f>IF(OR(N1091&lt;EDA!$H$1,N1091&gt;EDA!$H$2),"Outlier","Normal")</f>
        <v>Normal</v>
      </c>
    </row>
    <row r="1092" spans="1:16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5">
        <v>1300.5</v>
      </c>
      <c r="O1092" t="str">
        <f t="shared" si="17"/>
        <v>No Coupon</v>
      </c>
      <c r="P1092" t="str">
        <f>IF(OR(N1092&lt;EDA!$H$1,N1092&gt;EDA!$H$2),"Outlier","Normal")</f>
        <v>Normal</v>
      </c>
    </row>
    <row r="1093" spans="1:16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5">
        <v>628.43999999999994</v>
      </c>
      <c r="O1093" t="str">
        <f t="shared" si="17"/>
        <v>No Coupon</v>
      </c>
      <c r="P1093" t="str">
        <f>IF(OR(N1093&lt;EDA!$H$1,N1093&gt;EDA!$H$2),"Outlier","Normal")</f>
        <v>Normal</v>
      </c>
    </row>
    <row r="1094" spans="1:16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  <c r="O1094" t="str">
        <f t="shared" si="17"/>
        <v>WINTER15</v>
      </c>
      <c r="P1094" t="str">
        <f>IF(OR(N1094&lt;EDA!$H$1,N1094&gt;EDA!$H$2),"Outlier","Normal")</f>
        <v>Normal</v>
      </c>
    </row>
    <row r="1095" spans="1:16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  <c r="O1095" t="str">
        <f t="shared" si="17"/>
        <v>FREESHIP</v>
      </c>
      <c r="P1095" t="str">
        <f>IF(OR(N1095&lt;EDA!$H$1,N1095&gt;EDA!$H$2),"Outlier","Normal")</f>
        <v>Normal</v>
      </c>
    </row>
    <row r="1096" spans="1:16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  <c r="O1096" t="str">
        <f t="shared" si="17"/>
        <v>SAVE10</v>
      </c>
      <c r="P1096" t="str">
        <f>IF(OR(N1096&lt;EDA!$H$1,N1096&gt;EDA!$H$2),"Outlier","Normal")</f>
        <v>Normal</v>
      </c>
    </row>
    <row r="1097" spans="1:16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  <c r="O1097" t="str">
        <f t="shared" si="17"/>
        <v>SAVE10</v>
      </c>
      <c r="P1097" t="str">
        <f>IF(OR(N1097&lt;EDA!$H$1,N1097&gt;EDA!$H$2),"Outlier","Normal")</f>
        <v>Normal</v>
      </c>
    </row>
    <row r="1098" spans="1:16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5">
        <v>929.84</v>
      </c>
      <c r="O1098" t="str">
        <f t="shared" si="17"/>
        <v>No Coupon</v>
      </c>
      <c r="P1098" t="str">
        <f>IF(OR(N1098&lt;EDA!$H$1,N1098&gt;EDA!$H$2),"Outlier","Normal")</f>
        <v>Normal</v>
      </c>
    </row>
    <row r="1099" spans="1:16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  <c r="O1099" t="str">
        <f t="shared" si="17"/>
        <v>WINTER15</v>
      </c>
      <c r="P1099" t="str">
        <f>IF(OR(N1099&lt;EDA!$H$1,N1099&gt;EDA!$H$2),"Outlier","Normal")</f>
        <v>Normal</v>
      </c>
    </row>
    <row r="1100" spans="1:16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5">
        <v>1023.44</v>
      </c>
      <c r="O1100" t="str">
        <f t="shared" si="17"/>
        <v>No Coupon</v>
      </c>
      <c r="P1100" t="str">
        <f>IF(OR(N1100&lt;EDA!$H$1,N1100&gt;EDA!$H$2),"Outlier","Normal")</f>
        <v>Normal</v>
      </c>
    </row>
    <row r="1101" spans="1:16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  <c r="O1101" t="str">
        <f t="shared" si="17"/>
        <v>FREESHIP</v>
      </c>
      <c r="P1101" t="str">
        <f>IF(OR(N1101&lt;EDA!$H$1,N1101&gt;EDA!$H$2),"Outlier","Normal")</f>
        <v>Normal</v>
      </c>
    </row>
    <row r="1102" spans="1:16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  <c r="O1102" t="str">
        <f t="shared" si="17"/>
        <v>WINTER15</v>
      </c>
      <c r="P1102" t="str">
        <f>IF(OR(N1102&lt;EDA!$H$1,N1102&gt;EDA!$H$2),"Outlier","Normal")</f>
        <v>Normal</v>
      </c>
    </row>
    <row r="1103" spans="1:16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  <c r="O1103" t="str">
        <f t="shared" si="17"/>
        <v>SAVE10</v>
      </c>
      <c r="P1103" t="str">
        <f>IF(OR(N1103&lt;EDA!$H$1,N1103&gt;EDA!$H$2),"Outlier","Normal")</f>
        <v>Normal</v>
      </c>
    </row>
    <row r="1104" spans="1:16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5">
        <v>1388.68</v>
      </c>
      <c r="O1104" t="str">
        <f t="shared" si="17"/>
        <v>No Coupon</v>
      </c>
      <c r="P1104" t="str">
        <f>IF(OR(N1104&lt;EDA!$H$1,N1104&gt;EDA!$H$2),"Outlier","Normal")</f>
        <v>Normal</v>
      </c>
    </row>
    <row r="1105" spans="1:16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5">
        <v>1105.28</v>
      </c>
      <c r="O1105" t="str">
        <f t="shared" si="17"/>
        <v>No Coupon</v>
      </c>
      <c r="P1105" t="str">
        <f>IF(OR(N1105&lt;EDA!$H$1,N1105&gt;EDA!$H$2),"Outlier","Normal")</f>
        <v>Normal</v>
      </c>
    </row>
    <row r="1106" spans="1:16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5">
        <v>1259.04</v>
      </c>
      <c r="O1106" t="str">
        <f t="shared" si="17"/>
        <v>No Coupon</v>
      </c>
      <c r="P1106" t="str">
        <f>IF(OR(N1106&lt;EDA!$H$1,N1106&gt;EDA!$H$2),"Outlier","Normal")</f>
        <v>Normal</v>
      </c>
    </row>
    <row r="1107" spans="1:16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  <c r="O1107" t="str">
        <f t="shared" si="17"/>
        <v>FREESHIP</v>
      </c>
      <c r="P1107" t="str">
        <f>IF(OR(N1107&lt;EDA!$H$1,N1107&gt;EDA!$H$2),"Outlier","Normal")</f>
        <v>Normal</v>
      </c>
    </row>
    <row r="1108" spans="1:16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  <c r="O1108" t="str">
        <f t="shared" si="17"/>
        <v>SAVE10</v>
      </c>
      <c r="P1108" t="str">
        <f>IF(OR(N1108&lt;EDA!$H$1,N1108&gt;EDA!$H$2),"Outlier","Normal")</f>
        <v>Normal</v>
      </c>
    </row>
    <row r="1109" spans="1:16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  <c r="O1109" t="str">
        <f t="shared" si="17"/>
        <v>SAVE10</v>
      </c>
      <c r="P1109" t="str">
        <f>IF(OR(N1109&lt;EDA!$H$1,N1109&gt;EDA!$H$2),"Outlier","Normal")</f>
        <v>Normal</v>
      </c>
    </row>
    <row r="1110" spans="1:16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  <c r="O1110" t="str">
        <f t="shared" si="17"/>
        <v>WINTER15</v>
      </c>
      <c r="P1110" t="str">
        <f>IF(OR(N1110&lt;EDA!$H$1,N1110&gt;EDA!$H$2),"Outlier","Normal")</f>
        <v>Normal</v>
      </c>
    </row>
    <row r="1111" spans="1:16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  <c r="O1111" t="str">
        <f t="shared" si="17"/>
        <v>SAVE10</v>
      </c>
      <c r="P1111" t="str">
        <f>IF(OR(N1111&lt;EDA!$H$1,N1111&gt;EDA!$H$2),"Outlier","Normal")</f>
        <v>Normal</v>
      </c>
    </row>
    <row r="1112" spans="1:16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  <c r="O1112" t="str">
        <f t="shared" si="17"/>
        <v>SAVE10</v>
      </c>
      <c r="P1112" t="str">
        <f>IF(OR(N1112&lt;EDA!$H$1,N1112&gt;EDA!$H$2),"Outlier","Normal")</f>
        <v>Normal</v>
      </c>
    </row>
    <row r="1113" spans="1:16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  <c r="O1113" t="str">
        <f t="shared" si="17"/>
        <v>FREESHIP</v>
      </c>
      <c r="P1113" t="str">
        <f>IF(OR(N1113&lt;EDA!$H$1,N1113&gt;EDA!$H$2),"Outlier","Normal")</f>
        <v>Normal</v>
      </c>
    </row>
    <row r="1114" spans="1:16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  <c r="O1114" t="str">
        <f t="shared" si="17"/>
        <v>WINTER15</v>
      </c>
      <c r="P1114" t="str">
        <f>IF(OR(N1114&lt;EDA!$H$1,N1114&gt;EDA!$H$2),"Outlier","Normal")</f>
        <v>Normal</v>
      </c>
    </row>
    <row r="1115" spans="1:16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5">
        <v>839.96</v>
      </c>
      <c r="O1115" t="str">
        <f t="shared" si="17"/>
        <v>No Coupon</v>
      </c>
      <c r="P1115" t="str">
        <f>IF(OR(N1115&lt;EDA!$H$1,N1115&gt;EDA!$H$2),"Outlier","Normal")</f>
        <v>Normal</v>
      </c>
    </row>
    <row r="1116" spans="1:16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5">
        <v>1979.64</v>
      </c>
      <c r="O1116" t="str">
        <f t="shared" si="17"/>
        <v>No Coupon</v>
      </c>
      <c r="P1116" t="str">
        <f>IF(OR(N1116&lt;EDA!$H$1,N1116&gt;EDA!$H$2),"Outlier","Normal")</f>
        <v>Normal</v>
      </c>
    </row>
    <row r="1117" spans="1:16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5">
        <v>672.64</v>
      </c>
      <c r="O1117" t="str">
        <f t="shared" si="17"/>
        <v>No Coupon</v>
      </c>
      <c r="P1117" t="str">
        <f>IF(OR(N1117&lt;EDA!$H$1,N1117&gt;EDA!$H$2),"Outlier","Normal")</f>
        <v>Normal</v>
      </c>
    </row>
    <row r="1118" spans="1:16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  <c r="O1118" t="str">
        <f t="shared" si="17"/>
        <v>WINTER15</v>
      </c>
      <c r="P1118" t="str">
        <f>IF(OR(N1118&lt;EDA!$H$1,N1118&gt;EDA!$H$2),"Outlier","Normal")</f>
        <v>Normal</v>
      </c>
    </row>
    <row r="1119" spans="1:16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  <c r="O1119" t="str">
        <f t="shared" si="17"/>
        <v>WINTER15</v>
      </c>
      <c r="P1119" t="str">
        <f>IF(OR(N1119&lt;EDA!$H$1,N1119&gt;EDA!$H$2),"Outlier","Normal")</f>
        <v>Normal</v>
      </c>
    </row>
    <row r="1120" spans="1:16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5">
        <v>754.43999999999994</v>
      </c>
      <c r="O1120" t="str">
        <f t="shared" si="17"/>
        <v>No Coupon</v>
      </c>
      <c r="P1120" t="str">
        <f>IF(OR(N1120&lt;EDA!$H$1,N1120&gt;EDA!$H$2),"Outlier","Normal")</f>
        <v>Normal</v>
      </c>
    </row>
    <row r="1121" spans="1:16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  <c r="O1121" t="str">
        <f t="shared" si="17"/>
        <v>FREESHIP</v>
      </c>
      <c r="P1121" t="str">
        <f>IF(OR(N1121&lt;EDA!$H$1,N1121&gt;EDA!$H$2),"Outlier","Normal")</f>
        <v>Normal</v>
      </c>
    </row>
    <row r="1122" spans="1:16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5">
        <v>195.86</v>
      </c>
      <c r="O1122" t="str">
        <f t="shared" si="17"/>
        <v>No Coupon</v>
      </c>
      <c r="P1122" t="str">
        <f>IF(OR(N1122&lt;EDA!$H$1,N1122&gt;EDA!$H$2),"Outlier","Normal")</f>
        <v>Normal</v>
      </c>
    </row>
    <row r="1123" spans="1:16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  <c r="O1123" t="str">
        <f t="shared" si="17"/>
        <v>FREESHIP</v>
      </c>
      <c r="P1123" t="str">
        <f>IF(OR(N1123&lt;EDA!$H$1,N1123&gt;EDA!$H$2),"Outlier","Normal")</f>
        <v>Normal</v>
      </c>
    </row>
    <row r="1124" spans="1:16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5">
        <v>3390.95</v>
      </c>
      <c r="O1124" t="str">
        <f t="shared" si="17"/>
        <v>No Coupon</v>
      </c>
      <c r="P1124" t="str">
        <f>IF(OR(N1124&lt;EDA!$H$1,N1124&gt;EDA!$H$2),"Outlier","Normal")</f>
        <v>Outlier</v>
      </c>
    </row>
    <row r="1125" spans="1:16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  <c r="O1125" t="str">
        <f t="shared" si="17"/>
        <v>WINTER15</v>
      </c>
      <c r="P1125" t="str">
        <f>IF(OR(N1125&lt;EDA!$H$1,N1125&gt;EDA!$H$2),"Outlier","Normal")</f>
        <v>Normal</v>
      </c>
    </row>
    <row r="1126" spans="1:16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5">
        <v>2307.48</v>
      </c>
      <c r="O1126" t="str">
        <f t="shared" si="17"/>
        <v>No Coupon</v>
      </c>
      <c r="P1126" t="str">
        <f>IF(OR(N1126&lt;EDA!$H$1,N1126&gt;EDA!$H$2),"Outlier","Normal")</f>
        <v>Normal</v>
      </c>
    </row>
    <row r="1127" spans="1:16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  <c r="O1127" t="str">
        <f t="shared" si="17"/>
        <v>FREESHIP</v>
      </c>
      <c r="P1127" t="str">
        <f>IF(OR(N1127&lt;EDA!$H$1,N1127&gt;EDA!$H$2),"Outlier","Normal")</f>
        <v>Normal</v>
      </c>
    </row>
    <row r="1128" spans="1:16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  <c r="O1128" t="str">
        <f t="shared" si="17"/>
        <v>SAVE10</v>
      </c>
      <c r="P1128" t="str">
        <f>IF(OR(N1128&lt;EDA!$H$1,N1128&gt;EDA!$H$2),"Outlier","Normal")</f>
        <v>Normal</v>
      </c>
    </row>
    <row r="1129" spans="1:16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  <c r="O1129" t="str">
        <f t="shared" si="17"/>
        <v>SAVE10</v>
      </c>
      <c r="P1129" t="str">
        <f>IF(OR(N1129&lt;EDA!$H$1,N1129&gt;EDA!$H$2),"Outlier","Normal")</f>
        <v>Normal</v>
      </c>
    </row>
    <row r="1130" spans="1:16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  <c r="O1130" t="str">
        <f t="shared" si="17"/>
        <v>WINTER15</v>
      </c>
      <c r="P1130" t="str">
        <f>IF(OR(N1130&lt;EDA!$H$1,N1130&gt;EDA!$H$2),"Outlier","Normal")</f>
        <v>Normal</v>
      </c>
    </row>
    <row r="1131" spans="1:16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  <c r="O1131" t="str">
        <f t="shared" si="17"/>
        <v>FREESHIP</v>
      </c>
      <c r="P1131" t="str">
        <f>IF(OR(N1131&lt;EDA!$H$1,N1131&gt;EDA!$H$2),"Outlier","Normal")</f>
        <v>Normal</v>
      </c>
    </row>
    <row r="1132" spans="1:16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  <c r="O1132" t="str">
        <f t="shared" si="17"/>
        <v>FREESHIP</v>
      </c>
      <c r="P1132" t="str">
        <f>IF(OR(N1132&lt;EDA!$H$1,N1132&gt;EDA!$H$2),"Outlier","Normal")</f>
        <v>Normal</v>
      </c>
    </row>
    <row r="1133" spans="1:16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  <c r="O1133" t="str">
        <f t="shared" si="17"/>
        <v>WINTER15</v>
      </c>
      <c r="P1133" t="str">
        <f>IF(OR(N1133&lt;EDA!$H$1,N1133&gt;EDA!$H$2),"Outlier","Normal")</f>
        <v>Normal</v>
      </c>
    </row>
    <row r="1134" spans="1:16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  <c r="O1134" t="str">
        <f t="shared" si="17"/>
        <v>SAVE10</v>
      </c>
      <c r="P1134" t="str">
        <f>IF(OR(N1134&lt;EDA!$H$1,N1134&gt;EDA!$H$2),"Outlier","Normal")</f>
        <v>Normal</v>
      </c>
    </row>
    <row r="1135" spans="1:16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  <c r="O1135" t="str">
        <f t="shared" si="17"/>
        <v>WINTER15</v>
      </c>
      <c r="P1135" t="str">
        <f>IF(OR(N1135&lt;EDA!$H$1,N1135&gt;EDA!$H$2),"Outlier","Normal")</f>
        <v>Normal</v>
      </c>
    </row>
    <row r="1136" spans="1:16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  <c r="O1136" t="str">
        <f t="shared" si="17"/>
        <v>WINTER15</v>
      </c>
      <c r="P1136" t="str">
        <f>IF(OR(N1136&lt;EDA!$H$1,N1136&gt;EDA!$H$2),"Outlier","Normal")</f>
        <v>Normal</v>
      </c>
    </row>
    <row r="1137" spans="1:16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  <c r="O1137" t="str">
        <f t="shared" si="17"/>
        <v>SAVE10</v>
      </c>
      <c r="P1137" t="str">
        <f>IF(OR(N1137&lt;EDA!$H$1,N1137&gt;EDA!$H$2),"Outlier","Normal")</f>
        <v>Normal</v>
      </c>
    </row>
    <row r="1138" spans="1:16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  <c r="O1138" t="str">
        <f t="shared" si="17"/>
        <v>WINTER15</v>
      </c>
      <c r="P1138" t="str">
        <f>IF(OR(N1138&lt;EDA!$H$1,N1138&gt;EDA!$H$2),"Outlier","Normal")</f>
        <v>Normal</v>
      </c>
    </row>
    <row r="1139" spans="1:16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  <c r="O1139" t="str">
        <f t="shared" si="17"/>
        <v>WINTER15</v>
      </c>
      <c r="P1139" t="str">
        <f>IF(OR(N1139&lt;EDA!$H$1,N1139&gt;EDA!$H$2),"Outlier","Normal")</f>
        <v>Normal</v>
      </c>
    </row>
    <row r="1140" spans="1:16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5">
        <v>1177.6400000000001</v>
      </c>
      <c r="O1140" t="str">
        <f t="shared" si="17"/>
        <v>No Coupon</v>
      </c>
      <c r="P1140" t="str">
        <f>IF(OR(N1140&lt;EDA!$H$1,N1140&gt;EDA!$H$2),"Outlier","Normal")</f>
        <v>Normal</v>
      </c>
    </row>
    <row r="1141" spans="1:16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  <c r="O1141" t="str">
        <f t="shared" si="17"/>
        <v>FREESHIP</v>
      </c>
      <c r="P1141" t="str">
        <f>IF(OR(N1141&lt;EDA!$H$1,N1141&gt;EDA!$H$2),"Outlier","Normal")</f>
        <v>Normal</v>
      </c>
    </row>
    <row r="1142" spans="1:16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5">
        <v>1105.6600000000001</v>
      </c>
      <c r="O1142" t="str">
        <f t="shared" si="17"/>
        <v>No Coupon</v>
      </c>
      <c r="P1142" t="str">
        <f>IF(OR(N1142&lt;EDA!$H$1,N1142&gt;EDA!$H$2),"Outlier","Normal")</f>
        <v>Normal</v>
      </c>
    </row>
    <row r="1143" spans="1:16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5">
        <v>1495.98</v>
      </c>
      <c r="O1143" t="str">
        <f t="shared" si="17"/>
        <v>No Coupon</v>
      </c>
      <c r="P1143" t="str">
        <f>IF(OR(N1143&lt;EDA!$H$1,N1143&gt;EDA!$H$2),"Outlier","Normal")</f>
        <v>Normal</v>
      </c>
    </row>
    <row r="1144" spans="1:16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5">
        <v>2780.4</v>
      </c>
      <c r="O1144" t="str">
        <f t="shared" si="17"/>
        <v>No Coupon</v>
      </c>
      <c r="P1144" t="str">
        <f>IF(OR(N1144&lt;EDA!$H$1,N1144&gt;EDA!$H$2),"Outlier","Normal")</f>
        <v>Normal</v>
      </c>
    </row>
    <row r="1145" spans="1:16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5">
        <v>381.61</v>
      </c>
      <c r="O1145" t="str">
        <f t="shared" si="17"/>
        <v>No Coupon</v>
      </c>
      <c r="P1145" t="str">
        <f>IF(OR(N1145&lt;EDA!$H$1,N1145&gt;EDA!$H$2),"Outlier","Normal")</f>
        <v>Normal</v>
      </c>
    </row>
    <row r="1146" spans="1:16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5">
        <v>2539.6999999999998</v>
      </c>
      <c r="O1146" t="str">
        <f t="shared" si="17"/>
        <v>No Coupon</v>
      </c>
      <c r="P1146" t="str">
        <f>IF(OR(N1146&lt;EDA!$H$1,N1146&gt;EDA!$H$2),"Outlier","Normal")</f>
        <v>Normal</v>
      </c>
    </row>
    <row r="1147" spans="1:16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  <c r="O1147" t="str">
        <f t="shared" si="17"/>
        <v>FREESHIP</v>
      </c>
      <c r="P1147" t="str">
        <f>IF(OR(N1147&lt;EDA!$H$1,N1147&gt;EDA!$H$2),"Outlier","Normal")</f>
        <v>Normal</v>
      </c>
    </row>
    <row r="1148" spans="1:16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  <c r="O1148" t="str">
        <f t="shared" si="17"/>
        <v>SAVE10</v>
      </c>
      <c r="P1148" t="str">
        <f>IF(OR(N1148&lt;EDA!$H$1,N1148&gt;EDA!$H$2),"Outlier","Normal")</f>
        <v>Normal</v>
      </c>
    </row>
    <row r="1149" spans="1:16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  <c r="O1149" t="str">
        <f t="shared" si="17"/>
        <v>FREESHIP</v>
      </c>
      <c r="P1149" t="str">
        <f>IF(OR(N1149&lt;EDA!$H$1,N1149&gt;EDA!$H$2),"Outlier","Normal")</f>
        <v>Normal</v>
      </c>
    </row>
    <row r="1150" spans="1:16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  <c r="O1150" t="str">
        <f t="shared" si="17"/>
        <v>SAVE10</v>
      </c>
      <c r="P1150" t="str">
        <f>IF(OR(N1150&lt;EDA!$H$1,N1150&gt;EDA!$H$2),"Outlier","Normal")</f>
        <v>Normal</v>
      </c>
    </row>
    <row r="1151" spans="1:16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  <c r="O1151" t="str">
        <f t="shared" si="17"/>
        <v>FREESHIP</v>
      </c>
      <c r="P1151" t="str">
        <f>IF(OR(N1151&lt;EDA!$H$1,N1151&gt;EDA!$H$2),"Outlier","Normal")</f>
        <v>Normal</v>
      </c>
    </row>
    <row r="1152" spans="1:16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  <c r="O1152" t="str">
        <f t="shared" si="17"/>
        <v>SAVE10</v>
      </c>
      <c r="P1152" t="str">
        <f>IF(OR(N1152&lt;EDA!$H$1,N1152&gt;EDA!$H$2),"Outlier","Normal")</f>
        <v>Normal</v>
      </c>
    </row>
    <row r="1153" spans="1:16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5">
        <v>1216.08</v>
      </c>
      <c r="O1153" t="str">
        <f t="shared" si="17"/>
        <v>No Coupon</v>
      </c>
      <c r="P1153" t="str">
        <f>IF(OR(N1153&lt;EDA!$H$1,N1153&gt;EDA!$H$2),"Outlier","Normal")</f>
        <v>Normal</v>
      </c>
    </row>
    <row r="1154" spans="1:16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5">
        <v>688.36</v>
      </c>
      <c r="O1154" t="str">
        <f t="shared" si="17"/>
        <v>No Coupon</v>
      </c>
      <c r="P1154" t="str">
        <f>IF(OR(N1154&lt;EDA!$H$1,N1154&gt;EDA!$H$2),"Outlier","Normal")</f>
        <v>Normal</v>
      </c>
    </row>
    <row r="1155" spans="1:16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5">
        <v>2786.84</v>
      </c>
      <c r="O1155" t="str">
        <f t="shared" ref="O1155:O1201" si="18">IF(L1155="","No Coupon",L1155)</f>
        <v>No Coupon</v>
      </c>
      <c r="P1155" t="str">
        <f>IF(OR(N1155&lt;EDA!$H$1,N1155&gt;EDA!$H$2),"Outlier","Normal")</f>
        <v>Normal</v>
      </c>
    </row>
    <row r="1156" spans="1:16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  <c r="O1156" t="str">
        <f t="shared" si="18"/>
        <v>SAVE10</v>
      </c>
      <c r="P1156" t="str">
        <f>IF(OR(N1156&lt;EDA!$H$1,N1156&gt;EDA!$H$2),"Outlier","Normal")</f>
        <v>Normal</v>
      </c>
    </row>
    <row r="1157" spans="1:16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  <c r="O1157" t="str">
        <f t="shared" si="18"/>
        <v>FREESHIP</v>
      </c>
      <c r="P1157" t="str">
        <f>IF(OR(N1157&lt;EDA!$H$1,N1157&gt;EDA!$H$2),"Outlier","Normal")</f>
        <v>Normal</v>
      </c>
    </row>
    <row r="1158" spans="1:16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5">
        <v>2763.12</v>
      </c>
      <c r="O1158" t="str">
        <f t="shared" si="18"/>
        <v>No Coupon</v>
      </c>
      <c r="P1158" t="str">
        <f>IF(OR(N1158&lt;EDA!$H$1,N1158&gt;EDA!$H$2),"Outlier","Normal")</f>
        <v>Normal</v>
      </c>
    </row>
    <row r="1159" spans="1:16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  <c r="O1159" t="str">
        <f t="shared" si="18"/>
        <v>FREESHIP</v>
      </c>
      <c r="P1159" t="str">
        <f>IF(OR(N1159&lt;EDA!$H$1,N1159&gt;EDA!$H$2),"Outlier","Normal")</f>
        <v>Normal</v>
      </c>
    </row>
    <row r="1160" spans="1:16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  <c r="O1160" t="str">
        <f t="shared" si="18"/>
        <v>SAVE10</v>
      </c>
      <c r="P1160" t="str">
        <f>IF(OR(N1160&lt;EDA!$H$1,N1160&gt;EDA!$H$2),"Outlier","Normal")</f>
        <v>Normal</v>
      </c>
    </row>
    <row r="1161" spans="1:16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5">
        <v>1866.8</v>
      </c>
      <c r="O1161" t="str">
        <f t="shared" si="18"/>
        <v>No Coupon</v>
      </c>
      <c r="P1161" t="str">
        <f>IF(OR(N1161&lt;EDA!$H$1,N1161&gt;EDA!$H$2),"Outlier","Normal")</f>
        <v>Normal</v>
      </c>
    </row>
    <row r="1162" spans="1:16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  <c r="O1162" t="str">
        <f t="shared" si="18"/>
        <v>SAVE10</v>
      </c>
      <c r="P1162" t="str">
        <f>IF(OR(N1162&lt;EDA!$H$1,N1162&gt;EDA!$H$2),"Outlier","Normal")</f>
        <v>Normal</v>
      </c>
    </row>
    <row r="1163" spans="1:16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  <c r="O1163" t="str">
        <f t="shared" si="18"/>
        <v>WINTER15</v>
      </c>
      <c r="P1163" t="str">
        <f>IF(OR(N1163&lt;EDA!$H$1,N1163&gt;EDA!$H$2),"Outlier","Normal")</f>
        <v>Normal</v>
      </c>
    </row>
    <row r="1164" spans="1:16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  <c r="O1164" t="str">
        <f t="shared" si="18"/>
        <v>WINTER15</v>
      </c>
      <c r="P1164" t="str">
        <f>IF(OR(N1164&lt;EDA!$H$1,N1164&gt;EDA!$H$2),"Outlier","Normal")</f>
        <v>Normal</v>
      </c>
    </row>
    <row r="1165" spans="1:16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  <c r="O1165" t="str">
        <f t="shared" si="18"/>
        <v>WINTER15</v>
      </c>
      <c r="P1165" t="str">
        <f>IF(OR(N1165&lt;EDA!$H$1,N1165&gt;EDA!$H$2),"Outlier","Normal")</f>
        <v>Normal</v>
      </c>
    </row>
    <row r="1166" spans="1:16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  <c r="O1166" t="str">
        <f t="shared" si="18"/>
        <v>WINTER15</v>
      </c>
      <c r="P1166" t="str">
        <f>IF(OR(N1166&lt;EDA!$H$1,N1166&gt;EDA!$H$2),"Outlier","Normal")</f>
        <v>Normal</v>
      </c>
    </row>
    <row r="1167" spans="1:16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5">
        <v>671.37</v>
      </c>
      <c r="O1167" t="str">
        <f t="shared" si="18"/>
        <v>No Coupon</v>
      </c>
      <c r="P1167" t="str">
        <f>IF(OR(N1167&lt;EDA!$H$1,N1167&gt;EDA!$H$2),"Outlier","Normal")</f>
        <v>Normal</v>
      </c>
    </row>
    <row r="1168" spans="1:16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  <c r="O1168" t="str">
        <f t="shared" si="18"/>
        <v>WINTER15</v>
      </c>
      <c r="P1168" t="str">
        <f>IF(OR(N1168&lt;EDA!$H$1,N1168&gt;EDA!$H$2),"Outlier","Normal")</f>
        <v>Normal</v>
      </c>
    </row>
    <row r="1169" spans="1:16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  <c r="O1169" t="str">
        <f t="shared" si="18"/>
        <v>FREESHIP</v>
      </c>
      <c r="P1169" t="str">
        <f>IF(OR(N1169&lt;EDA!$H$1,N1169&gt;EDA!$H$2),"Outlier","Normal")</f>
        <v>Normal</v>
      </c>
    </row>
    <row r="1170" spans="1:16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  <c r="O1170" t="str">
        <f t="shared" si="18"/>
        <v>WINTER15</v>
      </c>
      <c r="P1170" t="str">
        <f>IF(OR(N1170&lt;EDA!$H$1,N1170&gt;EDA!$H$2),"Outlier","Normal")</f>
        <v>Normal</v>
      </c>
    </row>
    <row r="1171" spans="1:16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  <c r="O1171" t="str">
        <f t="shared" si="18"/>
        <v>SAVE10</v>
      </c>
      <c r="P1171" t="str">
        <f>IF(OR(N1171&lt;EDA!$H$1,N1171&gt;EDA!$H$2),"Outlier","Normal")</f>
        <v>Normal</v>
      </c>
    </row>
    <row r="1172" spans="1:16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  <c r="O1172" t="str">
        <f t="shared" si="18"/>
        <v>FREESHIP</v>
      </c>
      <c r="P1172" t="str">
        <f>IF(OR(N1172&lt;EDA!$H$1,N1172&gt;EDA!$H$2),"Outlier","Normal")</f>
        <v>Normal</v>
      </c>
    </row>
    <row r="1173" spans="1:16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  <c r="O1173" t="str">
        <f t="shared" si="18"/>
        <v>SAVE10</v>
      </c>
      <c r="P1173" t="str">
        <f>IF(OR(N1173&lt;EDA!$H$1,N1173&gt;EDA!$H$2),"Outlier","Normal")</f>
        <v>Normal</v>
      </c>
    </row>
    <row r="1174" spans="1:16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5">
        <v>395.88</v>
      </c>
      <c r="O1174" t="str">
        <f t="shared" si="18"/>
        <v>No Coupon</v>
      </c>
      <c r="P1174" t="str">
        <f>IF(OR(N1174&lt;EDA!$H$1,N1174&gt;EDA!$H$2),"Outlier","Normal")</f>
        <v>Normal</v>
      </c>
    </row>
    <row r="1175" spans="1:16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  <c r="O1175" t="str">
        <f t="shared" si="18"/>
        <v>FREESHIP</v>
      </c>
      <c r="P1175" t="str">
        <f>IF(OR(N1175&lt;EDA!$H$1,N1175&gt;EDA!$H$2),"Outlier","Normal")</f>
        <v>Normal</v>
      </c>
    </row>
    <row r="1176" spans="1:16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  <c r="O1176" t="str">
        <f t="shared" si="18"/>
        <v>WINTER15</v>
      </c>
      <c r="P1176" t="str">
        <f>IF(OR(N1176&lt;EDA!$H$1,N1176&gt;EDA!$H$2),"Outlier","Normal")</f>
        <v>Normal</v>
      </c>
    </row>
    <row r="1177" spans="1:16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  <c r="O1177" t="str">
        <f t="shared" si="18"/>
        <v>FREESHIP</v>
      </c>
      <c r="P1177" t="str">
        <f>IF(OR(N1177&lt;EDA!$H$1,N1177&gt;EDA!$H$2),"Outlier","Normal")</f>
        <v>Normal</v>
      </c>
    </row>
    <row r="1178" spans="1:16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  <c r="O1178" t="str">
        <f t="shared" si="18"/>
        <v>WINTER15</v>
      </c>
      <c r="P1178" t="str">
        <f>IF(OR(N1178&lt;EDA!$H$1,N1178&gt;EDA!$H$2),"Outlier","Normal")</f>
        <v>Normal</v>
      </c>
    </row>
    <row r="1179" spans="1:16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  <c r="O1179" t="str">
        <f t="shared" si="18"/>
        <v>SAVE10</v>
      </c>
      <c r="P1179" t="str">
        <f>IF(OR(N1179&lt;EDA!$H$1,N1179&gt;EDA!$H$2),"Outlier","Normal")</f>
        <v>Normal</v>
      </c>
    </row>
    <row r="1180" spans="1:16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  <c r="O1180" t="str">
        <f t="shared" si="18"/>
        <v>FREESHIP</v>
      </c>
      <c r="P1180" t="str">
        <f>IF(OR(N1180&lt;EDA!$H$1,N1180&gt;EDA!$H$2),"Outlier","Normal")</f>
        <v>Normal</v>
      </c>
    </row>
    <row r="1181" spans="1:16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  <c r="O1181" t="str">
        <f t="shared" si="18"/>
        <v>WINTER15</v>
      </c>
      <c r="P1181" t="str">
        <f>IF(OR(N1181&lt;EDA!$H$1,N1181&gt;EDA!$H$2),"Outlier","Normal")</f>
        <v>Normal</v>
      </c>
    </row>
    <row r="1182" spans="1:16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  <c r="O1182" t="str">
        <f t="shared" si="18"/>
        <v>FREESHIP</v>
      </c>
      <c r="P1182" t="str">
        <f>IF(OR(N1182&lt;EDA!$H$1,N1182&gt;EDA!$H$2),"Outlier","Normal")</f>
        <v>Normal</v>
      </c>
    </row>
    <row r="1183" spans="1:16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  <c r="O1183" t="str">
        <f t="shared" si="18"/>
        <v>FREESHIP</v>
      </c>
      <c r="P1183" t="str">
        <f>IF(OR(N1183&lt;EDA!$H$1,N1183&gt;EDA!$H$2),"Outlier","Normal")</f>
        <v>Normal</v>
      </c>
    </row>
    <row r="1184" spans="1:16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  <c r="O1184" t="str">
        <f t="shared" si="18"/>
        <v>SAVE10</v>
      </c>
      <c r="P1184" t="str">
        <f>IF(OR(N1184&lt;EDA!$H$1,N1184&gt;EDA!$H$2),"Outlier","Normal")</f>
        <v>Normal</v>
      </c>
    </row>
    <row r="1185" spans="1:16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  <c r="O1185" t="str">
        <f t="shared" si="18"/>
        <v>WINTER15</v>
      </c>
      <c r="P1185" t="str">
        <f>IF(OR(N1185&lt;EDA!$H$1,N1185&gt;EDA!$H$2),"Outlier","Normal")</f>
        <v>Normal</v>
      </c>
    </row>
    <row r="1186" spans="1:16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5">
        <v>204.08</v>
      </c>
      <c r="O1186" t="str">
        <f t="shared" si="18"/>
        <v>No Coupon</v>
      </c>
      <c r="P1186" t="str">
        <f>IF(OR(N1186&lt;EDA!$H$1,N1186&gt;EDA!$H$2),"Outlier","Normal")</f>
        <v>Normal</v>
      </c>
    </row>
    <row r="1187" spans="1:16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  <c r="O1187" t="str">
        <f t="shared" si="18"/>
        <v>SAVE10</v>
      </c>
      <c r="P1187" t="str">
        <f>IF(OR(N1187&lt;EDA!$H$1,N1187&gt;EDA!$H$2),"Outlier","Normal")</f>
        <v>Normal</v>
      </c>
    </row>
    <row r="1188" spans="1:16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  <c r="O1188" t="str">
        <f t="shared" si="18"/>
        <v>WINTER15</v>
      </c>
      <c r="P1188" t="str">
        <f>IF(OR(N1188&lt;EDA!$H$1,N1188&gt;EDA!$H$2),"Outlier","Normal")</f>
        <v>Normal</v>
      </c>
    </row>
    <row r="1189" spans="1:16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  <c r="O1189" t="str">
        <f t="shared" si="18"/>
        <v>WINTER15</v>
      </c>
      <c r="P1189" t="str">
        <f>IF(OR(N1189&lt;EDA!$H$1,N1189&gt;EDA!$H$2),"Outlier","Normal")</f>
        <v>Normal</v>
      </c>
    </row>
    <row r="1190" spans="1:16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  <c r="O1190" t="str">
        <f t="shared" si="18"/>
        <v>WINTER15</v>
      </c>
      <c r="P1190" t="str">
        <f>IF(OR(N1190&lt;EDA!$H$1,N1190&gt;EDA!$H$2),"Outlier","Normal")</f>
        <v>Normal</v>
      </c>
    </row>
    <row r="1191" spans="1:16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5">
        <v>1946.1</v>
      </c>
      <c r="O1191" t="str">
        <f t="shared" si="18"/>
        <v>No Coupon</v>
      </c>
      <c r="P1191" t="str">
        <f>IF(OR(N1191&lt;EDA!$H$1,N1191&gt;EDA!$H$2),"Outlier","Normal")</f>
        <v>Normal</v>
      </c>
    </row>
    <row r="1192" spans="1:16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  <c r="O1192" t="str">
        <f t="shared" si="18"/>
        <v>FREESHIP</v>
      </c>
      <c r="P1192" t="str">
        <f>IF(OR(N1192&lt;EDA!$H$1,N1192&gt;EDA!$H$2),"Outlier","Normal")</f>
        <v>Normal</v>
      </c>
    </row>
    <row r="1193" spans="1:16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  <c r="O1193" t="str">
        <f t="shared" si="18"/>
        <v>WINTER15</v>
      </c>
      <c r="P1193" t="str">
        <f>IF(OR(N1193&lt;EDA!$H$1,N1193&gt;EDA!$H$2),"Outlier","Normal")</f>
        <v>Normal</v>
      </c>
    </row>
    <row r="1194" spans="1:16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5">
        <v>1298.55</v>
      </c>
      <c r="O1194" t="str">
        <f t="shared" si="18"/>
        <v>No Coupon</v>
      </c>
      <c r="P1194" t="str">
        <f>IF(OR(N1194&lt;EDA!$H$1,N1194&gt;EDA!$H$2),"Outlier","Normal")</f>
        <v>Normal</v>
      </c>
    </row>
    <row r="1195" spans="1:16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  <c r="O1195" t="str">
        <f t="shared" si="18"/>
        <v>FREESHIP</v>
      </c>
      <c r="P1195" t="str">
        <f>IF(OR(N1195&lt;EDA!$H$1,N1195&gt;EDA!$H$2),"Outlier","Normal")</f>
        <v>Normal</v>
      </c>
    </row>
    <row r="1196" spans="1:16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  <c r="O1196" t="str">
        <f t="shared" si="18"/>
        <v>FREESHIP</v>
      </c>
      <c r="P1196" t="str">
        <f>IF(OR(N1196&lt;EDA!$H$1,N1196&gt;EDA!$H$2),"Outlier","Normal")</f>
        <v>Normal</v>
      </c>
    </row>
    <row r="1197" spans="1:16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  <c r="O1197" t="str">
        <f t="shared" si="18"/>
        <v>FREESHIP</v>
      </c>
      <c r="P1197" t="str">
        <f>IF(OR(N1197&lt;EDA!$H$1,N1197&gt;EDA!$H$2),"Outlier","Normal")</f>
        <v>Normal</v>
      </c>
    </row>
    <row r="1198" spans="1:16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5">
        <v>1325.06</v>
      </c>
      <c r="O1198" t="str">
        <f t="shared" si="18"/>
        <v>No Coupon</v>
      </c>
      <c r="P1198" t="str">
        <f>IF(OR(N1198&lt;EDA!$H$1,N1198&gt;EDA!$H$2),"Outlier","Normal")</f>
        <v>Normal</v>
      </c>
    </row>
    <row r="1199" spans="1:16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  <c r="O1199" t="str">
        <f t="shared" si="18"/>
        <v>FREESHIP</v>
      </c>
      <c r="P1199" t="str">
        <f>IF(OR(N1199&lt;EDA!$H$1,N1199&gt;EDA!$H$2),"Outlier","Normal")</f>
        <v>Normal</v>
      </c>
    </row>
    <row r="1200" spans="1:16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  <c r="O1200" t="str">
        <f t="shared" si="18"/>
        <v>WINTER15</v>
      </c>
      <c r="P1200" t="str">
        <f>IF(OR(N1200&lt;EDA!$H$1,N1200&gt;EDA!$H$2),"Outlier","Normal")</f>
        <v>Normal</v>
      </c>
    </row>
    <row r="1201" spans="1:16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  <c r="O1201" t="str">
        <f t="shared" si="18"/>
        <v>SAVE10</v>
      </c>
      <c r="P1201" t="str">
        <f>IF(OR(N1201&lt;EDA!$H$1,N1201&gt;EDA!$H$2),"Outlier","Normal")</f>
        <v>Normal</v>
      </c>
    </row>
    <row r="1202" spans="1:16" x14ac:dyDescent="0.35">
      <c r="O1202">
        <f>COUNTA(A2:A1201)</f>
        <v>1200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Orders by Status</vt:lpstr>
      <vt:lpstr>Revenue by Product</vt:lpstr>
      <vt:lpstr>Revenue by Referral Source</vt:lpstr>
      <vt:lpstr>Average Order Value by Payment</vt:lpstr>
      <vt:lpstr>Revenue by Month</vt:lpstr>
      <vt:lpstr>EDA</vt:lpstr>
      <vt:lpstr>Cleaned Data 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2026-07-17T16:27:17Z</dcterms:modified>
</cp:coreProperties>
</file>